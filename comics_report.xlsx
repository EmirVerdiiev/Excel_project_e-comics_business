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1"/>
  </bookViews>
  <sheets>
    <sheet name="pivot_table" sheetId="9" r:id="rId1"/>
    <sheet name="users" sheetId="1" r:id="rId2"/>
    <sheet name="payments" sheetId="2" r:id="rId3"/>
    <sheet name="refunds" sheetId="3" r:id="rId4"/>
    <sheet name="coin_packages" sheetId="4" r:id="rId5"/>
    <sheet name="campaigns" sheetId="5" r:id="rId6"/>
    <sheet name="Summary" sheetId="6" r:id="rId7"/>
  </sheets>
  <definedNames>
    <definedName name="Slicer_device_type">#N/A</definedName>
    <definedName name="Slicer_device_type1">#N/A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BBE1A952-AA13-448e-AADC-164F8A28A991}">
      <x14:slicerCaches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<sst xmlns="http://schemas.openxmlformats.org/spreadsheetml/2006/main" count="1342" uniqueCount="92">
  <si>
    <t>ARPU - Average Revenue Per User</t>
  </si>
  <si>
    <t>ARPPU - Average Revenue Per Paying User</t>
  </si>
  <si>
    <t>Payer Conversion Rate - Частка користувачів, які здійснили успішний платіж</t>
  </si>
  <si>
    <t>device_type</t>
  </si>
  <si>
    <t>mobile</t>
  </si>
  <si>
    <t>country_code</t>
  </si>
  <si>
    <t>Count of user_id</t>
  </si>
  <si>
    <t>Sum of is_payer</t>
  </si>
  <si>
    <t>total_paid</t>
  </si>
  <si>
    <t>total_refunded</t>
  </si>
  <si>
    <t>total_net_revenue_usd</t>
  </si>
  <si>
    <t>PCR</t>
  </si>
  <si>
    <t>ARPU</t>
  </si>
  <si>
    <t>ARPPU</t>
  </si>
  <si>
    <t>UA</t>
  </si>
  <si>
    <t>GB</t>
  </si>
  <si>
    <t>BR</t>
  </si>
  <si>
    <t>CA</t>
  </si>
  <si>
    <t>DE</t>
  </si>
  <si>
    <t>US</t>
  </si>
  <si>
    <t>Grand Total</t>
  </si>
  <si>
    <t>Total_net_revenue_usd</t>
  </si>
  <si>
    <t>desktop</t>
  </si>
  <si>
    <t>tablet</t>
  </si>
  <si>
    <t>status</t>
  </si>
  <si>
    <t>succeeded</t>
  </si>
  <si>
    <t>month</t>
  </si>
  <si>
    <t>Total_revenue</t>
  </si>
  <si>
    <t>2026-01</t>
  </si>
  <si>
    <t>2026-02</t>
  </si>
  <si>
    <t>2026-03</t>
  </si>
  <si>
    <t>2026-04</t>
  </si>
  <si>
    <t>2026-05</t>
  </si>
  <si>
    <t>2026-06</t>
  </si>
  <si>
    <t>Month</t>
  </si>
  <si>
    <t>Total_refunded</t>
  </si>
  <si>
    <t>user_id</t>
  </si>
  <si>
    <t>registered_at</t>
  </si>
  <si>
    <t>campaign_id</t>
  </si>
  <si>
    <t>successful_payments_count</t>
  </si>
  <si>
    <t>paid_usd</t>
  </si>
  <si>
    <t>refunded_usd</t>
  </si>
  <si>
    <t>net_revenue_usd</t>
  </si>
  <si>
    <t>is_payer</t>
  </si>
  <si>
    <t>payment_id</t>
  </si>
  <si>
    <t>package_id</t>
  </si>
  <si>
    <t>attempted_at</t>
  </si>
  <si>
    <t>completed_at</t>
  </si>
  <si>
    <t>amount_usd</t>
  </si>
  <si>
    <t>coins_granted</t>
  </si>
  <si>
    <t>Package_type (XLOOKUP)</t>
  </si>
  <si>
    <t>Package_type_(INDEX+MATCH)</t>
  </si>
  <si>
    <t>is_us_mobile_or_tablet</t>
  </si>
  <si>
    <t>has_refunded</t>
  </si>
  <si>
    <t>refunded_sum</t>
  </si>
  <si>
    <t>pending</t>
  </si>
  <si>
    <t>failed</t>
  </si>
  <si>
    <t>refund_id</t>
  </si>
  <si>
    <t>refunded_at</t>
  </si>
  <si>
    <t>coins_revoked</t>
  </si>
  <si>
    <t>reason</t>
  </si>
  <si>
    <t>customer_request</t>
  </si>
  <si>
    <t>accidental_purchase</t>
  </si>
  <si>
    <t>package_name</t>
  </si>
  <si>
    <t>coins</t>
  </si>
  <si>
    <t>list_price_usd</t>
  </si>
  <si>
    <t>Small</t>
  </si>
  <si>
    <t>Medium</t>
  </si>
  <si>
    <t>Large</t>
  </si>
  <si>
    <t>Unused premium</t>
  </si>
  <si>
    <t>campaign_name</t>
  </si>
  <si>
    <t>channel</t>
  </si>
  <si>
    <t>started_at</t>
  </si>
  <si>
    <t>ended_at</t>
  </si>
  <si>
    <t>spend_usd</t>
  </si>
  <si>
    <t>Campaign_01</t>
  </si>
  <si>
    <t>Meta</t>
  </si>
  <si>
    <t>Campaign_02</t>
  </si>
  <si>
    <t>TikTok</t>
  </si>
  <si>
    <t>Campaign_03</t>
  </si>
  <si>
    <t>Google</t>
  </si>
  <si>
    <t>Campaign_04</t>
  </si>
  <si>
    <t>Influencer</t>
  </si>
  <si>
    <t>Campaign_05</t>
  </si>
  <si>
    <t>Campaign_06</t>
  </si>
  <si>
    <t>Campaign_07</t>
  </si>
  <si>
    <t>Campaign_08</t>
  </si>
  <si>
    <t>Кількість успішних платежів</t>
  </si>
  <si>
    <t>Загальна сума успішних платежів</t>
  </si>
  <si>
    <t>Середній успішний платіж</t>
  </si>
  <si>
    <t>Медіанний успішний платіж</t>
  </si>
  <si>
    <t>Курс USD/UAH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</si>
</sst>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898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8" fontId="0" fillId="0" borderId="0" xfId="0" applyNumberFormat="1">
      <alignment vertical="center"/>
    </xf>
    <xf numFmtId="178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Font="1">
      <alignment vertical="center"/>
    </xf>
    <xf numFmtId="9" fontId="0" fillId="0" borderId="0" xfId="3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fill>
        <patternFill patternType="solid">
          <bgColor rgb="FFFF8989"/>
        </patternFill>
      </fill>
    </dxf>
    <dxf>
      <fill>
        <patternFill patternType="solid">
          <bgColor rgb="FFFF8989"/>
        </patternFill>
      </fill>
    </dxf>
    <dxf>
      <fill>
        <patternFill patternType="solid">
          <bgColor rgb="FFFF8989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22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2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2" formatCode="m/d/yyyy\ h:mm"/>
    </dxf>
    <dxf>
      <numFmt numFmtId="0" formatCode="General"/>
    </dxf>
    <dxf>
      <numFmt numFmtId="0" formatCode="General"/>
    </dxf>
    <dxf>
      <numFmt numFmtId="22" formatCode="m/d/yyyy\ h:mm"/>
    </dxf>
    <dxf>
      <numFmt numFmtId="22" formatCode="m/d/yyyy\ h:mm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colors>
    <mruColors>
      <color rgb="00FF7A03"/>
      <color rgb="00FF898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[comics_report.xlsx]pivot_table!users_report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582368421052632"/>
          <c:y val="0.169444444444444"/>
          <c:w val="0.603210526315789"/>
          <c:h val="0.641759259259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pivot_table!$B$14</c:f>
              <c:strCache>
                <c:ptCount val="1"/>
                <c:pt idx="0">
                  <c:v>Count of user_id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pivot_table!$B$15:$B$21</c:f>
              <c:numCache>
                <c:formatCode>General</c:formatCode>
                <c:ptCount val="6"/>
                <c:pt idx="0">
                  <c:v>24</c:v>
                </c:pt>
                <c:pt idx="1">
                  <c:v>33</c:v>
                </c:pt>
                <c:pt idx="2">
                  <c:v>23</c:v>
                </c:pt>
                <c:pt idx="3">
                  <c:v>29</c:v>
                </c:pt>
                <c:pt idx="4">
                  <c:v>27</c:v>
                </c:pt>
                <c:pt idx="5">
                  <c:v>38</c:v>
                </c:pt>
              </c:numCache>
            </c:numRef>
          </c:val>
        </c:ser>
        <c:ser>
          <c:idx val="1"/>
          <c:order val="1"/>
          <c:tx>
            <c:strRef>
              <c:f>pivot_table!$C$14</c:f>
              <c:strCache>
                <c:ptCount val="1"/>
                <c:pt idx="0">
                  <c:v>Sum of is_payer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pivot_table!$C$15:$C$21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13</c:v>
                </c:pt>
              </c:numCache>
            </c:numRef>
          </c:val>
        </c:ser>
        <c:ser>
          <c:idx val="2"/>
          <c:order val="2"/>
          <c:tx>
            <c:strRef>
              <c:f>pivot_table!$D$14</c:f>
              <c:strCache>
                <c:ptCount val="1"/>
                <c:pt idx="0">
                  <c:v>total_paid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pivot_table!$D$15:$D$21</c:f>
              <c:numCache>
                <c:formatCode>General</c:formatCode>
                <c:ptCount val="6"/>
                <c:pt idx="0">
                  <c:v>58.92</c:v>
                </c:pt>
                <c:pt idx="1">
                  <c:v>115.9</c:v>
                </c:pt>
                <c:pt idx="2">
                  <c:v>84.93</c:v>
                </c:pt>
                <c:pt idx="3">
                  <c:v>120.9</c:v>
                </c:pt>
                <c:pt idx="4">
                  <c:v>119.89</c:v>
                </c:pt>
                <c:pt idx="5">
                  <c:v>165.86</c:v>
                </c:pt>
              </c:numCache>
            </c:numRef>
          </c:val>
        </c:ser>
        <c:ser>
          <c:idx val="3"/>
          <c:order val="3"/>
          <c:tx>
            <c:strRef>
              <c:f>pivot_table!$E$14</c:f>
              <c:strCache>
                <c:ptCount val="1"/>
                <c:pt idx="0">
                  <c:v>total_refunded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pivot_table!$E$15:$E$21</c:f>
              <c:numCache>
                <c:formatCode>General</c:formatCode>
                <c:ptCount val="6"/>
                <c:pt idx="0">
                  <c:v>0</c:v>
                </c:pt>
                <c:pt idx="1">
                  <c:v>39.98</c:v>
                </c:pt>
                <c:pt idx="2">
                  <c:v>0</c:v>
                </c:pt>
                <c:pt idx="3">
                  <c:v>9.99</c:v>
                </c:pt>
                <c:pt idx="4">
                  <c:v>0</c:v>
                </c:pt>
                <c:pt idx="5">
                  <c:v>19.99</c:v>
                </c:pt>
              </c:numCache>
            </c:numRef>
          </c:val>
        </c:ser>
        <c:ser>
          <c:idx val="4"/>
          <c:order val="4"/>
          <c:tx>
            <c:strRef>
              <c:f>pivot_table!$F$14</c:f>
              <c:strCache>
                <c:ptCount val="1"/>
                <c:pt idx="0">
                  <c:v>total_net_revenue_usd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pivot_table!$F$15:$F$21</c:f>
              <c:numCache>
                <c:formatCode>General</c:formatCode>
                <c:ptCount val="6"/>
                <c:pt idx="0">
                  <c:v>58.92</c:v>
                </c:pt>
                <c:pt idx="1">
                  <c:v>75.92</c:v>
                </c:pt>
                <c:pt idx="2">
                  <c:v>84.93</c:v>
                </c:pt>
                <c:pt idx="3">
                  <c:v>110.91</c:v>
                </c:pt>
                <c:pt idx="4">
                  <c:v>119.89</c:v>
                </c:pt>
                <c:pt idx="5">
                  <c:v>145.87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350295"/>
        <c:axId val="634380758"/>
      </c:barChart>
      <c:catAx>
        <c:axId val="857350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380758"/>
        <c:crosses val="autoZero"/>
        <c:auto val="1"/>
        <c:lblAlgn val="ctr"/>
        <c:lblOffset val="100"/>
        <c:noMultiLvlLbl val="0"/>
      </c:catAx>
      <c:valAx>
        <c:axId val="6343807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350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28e79f-a5b5-4e23-9aa6-2a7b2a9a6f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[comics_report.xlsx]pivot_table!users_report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96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zh-CN" sz="96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Overall report by country</a:t>
            </a:r>
            <a:endParaRPr lang="en-US" altLang="zh-CN" sz="96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85631879548556"/>
          <c:y val="0.114794887584186"/>
          <c:w val="0.830428459559235"/>
          <c:h val="0.788928195812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pivot_table!$B$14</c:f>
              <c:strCache>
                <c:ptCount val="1"/>
                <c:pt idx="0">
                  <c:v>Count of user_id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4"/>
            <c:invertIfNegative val="0"/>
            <c:bubble3D val="0"/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pivot_table!$B$15:$B$21</c:f>
              <c:numCache>
                <c:formatCode>General</c:formatCode>
                <c:ptCount val="6"/>
                <c:pt idx="0">
                  <c:v>24</c:v>
                </c:pt>
                <c:pt idx="1">
                  <c:v>33</c:v>
                </c:pt>
                <c:pt idx="2">
                  <c:v>23</c:v>
                </c:pt>
                <c:pt idx="3">
                  <c:v>29</c:v>
                </c:pt>
                <c:pt idx="4">
                  <c:v>27</c:v>
                </c:pt>
                <c:pt idx="5">
                  <c:v>38</c:v>
                </c:pt>
              </c:numCache>
            </c:numRef>
          </c:val>
        </c:ser>
        <c:ser>
          <c:idx val="1"/>
          <c:order val="1"/>
          <c:tx>
            <c:strRef>
              <c:f>pivot_table!$C$14</c:f>
              <c:strCache>
                <c:ptCount val="1"/>
                <c:pt idx="0">
                  <c:v>Sum of is_payer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pivot_table!$C$15:$C$21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13</c:v>
                </c:pt>
              </c:numCache>
            </c:numRef>
          </c:val>
        </c:ser>
        <c:ser>
          <c:idx val="2"/>
          <c:order val="2"/>
          <c:tx>
            <c:strRef>
              <c:f>pivot_table!$D$14</c:f>
              <c:strCache>
                <c:ptCount val="1"/>
                <c:pt idx="0">
                  <c:v>total_paid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pivot_table!$D$15:$D$21</c:f>
              <c:numCache>
                <c:formatCode>General</c:formatCode>
                <c:ptCount val="6"/>
                <c:pt idx="0">
                  <c:v>58.92</c:v>
                </c:pt>
                <c:pt idx="1">
                  <c:v>115.9</c:v>
                </c:pt>
                <c:pt idx="2">
                  <c:v>84.93</c:v>
                </c:pt>
                <c:pt idx="3">
                  <c:v>120.9</c:v>
                </c:pt>
                <c:pt idx="4">
                  <c:v>119.89</c:v>
                </c:pt>
                <c:pt idx="5">
                  <c:v>165.86</c:v>
                </c:pt>
              </c:numCache>
            </c:numRef>
          </c:val>
        </c:ser>
        <c:ser>
          <c:idx val="3"/>
          <c:order val="3"/>
          <c:tx>
            <c:strRef>
              <c:f>pivot_table!$E$14</c:f>
              <c:strCache>
                <c:ptCount val="1"/>
                <c:pt idx="0">
                  <c:v>total_refunded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pivot_table!$E$15:$E$21</c:f>
              <c:numCache>
                <c:formatCode>General</c:formatCode>
                <c:ptCount val="6"/>
                <c:pt idx="0">
                  <c:v>0</c:v>
                </c:pt>
                <c:pt idx="1">
                  <c:v>39.98</c:v>
                </c:pt>
                <c:pt idx="2">
                  <c:v>0</c:v>
                </c:pt>
                <c:pt idx="3">
                  <c:v>9.99</c:v>
                </c:pt>
                <c:pt idx="4">
                  <c:v>0</c:v>
                </c:pt>
                <c:pt idx="5">
                  <c:v>19.99</c:v>
                </c:pt>
              </c:numCache>
            </c:numRef>
          </c:val>
        </c:ser>
        <c:ser>
          <c:idx val="4"/>
          <c:order val="4"/>
          <c:tx>
            <c:strRef>
              <c:f>pivot_table!$F$14</c:f>
              <c:strCache>
                <c:ptCount val="1"/>
                <c:pt idx="0">
                  <c:v>total_net_revenue_usd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40000"/>
                    <a:lumOff val="60000"/>
                  </a:schemeClr>
                </a:gs>
                <a:gs pos="90000">
                  <a:schemeClr val="accent4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pivot_table!$A$15:$A$21</c:f>
              <c:strCache>
                <c:ptCount val="6"/>
                <c:pt idx="0">
                  <c:v>UA</c:v>
                </c:pt>
                <c:pt idx="1">
                  <c:v>GB</c:v>
                </c:pt>
                <c:pt idx="2">
                  <c:v>BR</c:v>
                </c:pt>
                <c:pt idx="3">
                  <c:v>CA</c:v>
                </c:pt>
                <c:pt idx="4">
                  <c:v>DE</c:v>
                </c:pt>
                <c:pt idx="5">
                  <c:v>US</c:v>
                </c:pt>
              </c:strCache>
            </c:strRef>
          </c:cat>
          <c:val>
            <c:numRef>
              <c:f>pivot_table!$F$15:$F$21</c:f>
              <c:numCache>
                <c:formatCode>General</c:formatCode>
                <c:ptCount val="6"/>
                <c:pt idx="0">
                  <c:v>58.92</c:v>
                </c:pt>
                <c:pt idx="1">
                  <c:v>75.92</c:v>
                </c:pt>
                <c:pt idx="2">
                  <c:v>84.93</c:v>
                </c:pt>
                <c:pt idx="3">
                  <c:v>110.91</c:v>
                </c:pt>
                <c:pt idx="4">
                  <c:v>119.89</c:v>
                </c:pt>
                <c:pt idx="5">
                  <c:v>145.87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508136935"/>
        <c:axId val="705999780"/>
      </c:barChart>
      <c:catAx>
        <c:axId val="508136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05999780"/>
        <c:crosses val="autoZero"/>
        <c:auto val="1"/>
        <c:lblAlgn val="ctr"/>
        <c:lblOffset val="100"/>
        <c:noMultiLvlLbl val="0"/>
      </c:catAx>
      <c:valAx>
        <c:axId val="7059997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</a:rPr>
                  <a:t>Net_Revenue</a:t>
                </a:r>
                <a:endParaRPr lang="en-US" altLang="zh-CN" sz="80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</a:endParaRPr>
              </a:p>
              <a:p>
                <a:pPr defTabSz="914400"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  <a:endParaRPr lang="en-US" altLang="zh-CN" sz="800">
                  <a:solidFill>
                    <a:schemeClr val="tx1"/>
                  </a:solidFill>
                  <a:uFill>
                    <a:solidFill>
                      <a:schemeClr val="tx1"/>
                    </a:solidFill>
                  </a:u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08136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9647384189906"/>
          <c:y val="0.105205393540295"/>
          <c:w val="0.501498041023277"/>
          <c:h val="0.1185324553151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9c0c22-2479-4518-9485-6bd8953720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[comics_report.xlsx]pivot_table!PivotTable2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1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Net Revenue by Country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58097230875336"/>
          <c:y val="0.195232437249369"/>
          <c:w val="0.886114984007217"/>
          <c:h val="0.614570028219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200" b="0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pivot_table!$A$35:$A$41</c:f>
              <c:strCache>
                <c:ptCount val="6"/>
                <c:pt idx="0">
                  <c:v>BR</c:v>
                </c:pt>
                <c:pt idx="1">
                  <c:v>CA</c:v>
                </c:pt>
                <c:pt idx="2">
                  <c:v>DE</c:v>
                </c:pt>
                <c:pt idx="3">
                  <c:v>GB</c:v>
                </c:pt>
                <c:pt idx="4">
                  <c:v>UA</c:v>
                </c:pt>
                <c:pt idx="5">
                  <c:v>US</c:v>
                </c:pt>
              </c:strCache>
            </c:strRef>
          </c:cat>
          <c:val>
            <c:numRef>
              <c:f>pivot_table!$B$35:$B$41</c:f>
              <c:numCache>
                <c:formatCode>General</c:formatCode>
                <c:ptCount val="6"/>
                <c:pt idx="0">
                  <c:v>133.88</c:v>
                </c:pt>
                <c:pt idx="1">
                  <c:v>99.92</c:v>
                </c:pt>
                <c:pt idx="2">
                  <c:v>71.94</c:v>
                </c:pt>
                <c:pt idx="3">
                  <c:v>9.99</c:v>
                </c:pt>
                <c:pt idx="4">
                  <c:v>121.91</c:v>
                </c:pt>
                <c:pt idx="5">
                  <c:v>104.89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05531297"/>
        <c:axId val="204482690"/>
      </c:barChart>
      <c:catAx>
        <c:axId val="10553129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r>
                  <a:rPr lang="en-US" altLang="zh-CN" sz="1200" b="1" u="none" strike="noStrike" cap="none" normalizeH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rPr>
                  <a:t>Country</a:t>
                </a:r>
                <a:endParaRPr lang="en-US" altLang="zh-CN" sz="1200" b="1" u="none" strike="noStrike" cap="none" normalizeH="0">
                  <a:solidFill>
                    <a:schemeClr val="tx1">
                      <a:lumMod val="75000"/>
                      <a:lumOff val="25000"/>
                    </a:schemeClr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Arial" panose="020B0604020202020204" pitchFamily="7" charset="0"/>
                  <a:ea typeface="Arial" panose="020B0604020202020204" pitchFamily="7" charset="0"/>
                  <a:cs typeface="Arial" panose="020B0604020202020204" pitchFamily="7" charset="0"/>
                  <a:sym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0.467441179011196"/>
              <c:y val="0.8943400066924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04482690"/>
        <c:crosses val="autoZero"/>
        <c:auto val="1"/>
        <c:lblAlgn val="ctr"/>
        <c:lblOffset val="100"/>
        <c:noMultiLvlLbl val="0"/>
      </c:catAx>
      <c:valAx>
        <c:axId val="20448269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553129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ab3f4b-7297-4c12-abda-00a22f8fa7e8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1200" u="none" strike="noStrike" kern="1200" cap="none" spc="0" normalizeH="0">
          <a:solidFill>
            <a:schemeClr val="tx1">
              <a:lumMod val="75000"/>
              <a:lumOff val="25000"/>
            </a:schemeClr>
          </a:solidFill>
          <a:uFill>
            <a:solidFill>
              <a:schemeClr val="tx1">
                <a:lumMod val="75000"/>
                <a:lumOff val="25000"/>
              </a:schemeClr>
            </a:solidFill>
          </a:u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[comics_report.xlsx]pivot_table!PivotTable1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Net Revenue By Country</a:t>
            </a:r>
          </a:p>
        </c:rich>
      </c:tx>
      <c:layout>
        <c:manualLayout>
          <c:xMode val="edge"/>
          <c:yMode val="edge"/>
          <c:x val="0.400489396411093"/>
          <c:y val="0.04167631396156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21805328983143"/>
          <c:y val="0.177124334336652"/>
          <c:w val="0.763991299619358"/>
          <c:h val="0.5641120629775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pivot_table!$A$60:$A$63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pivot_table!$B$60:$B$63</c:f>
              <c:numCache>
                <c:formatCode>General</c:formatCode>
                <c:ptCount val="3"/>
                <c:pt idx="0">
                  <c:v>542.53</c:v>
                </c:pt>
                <c:pt idx="1">
                  <c:v>596.44</c:v>
                </c:pt>
                <c:pt idx="2">
                  <c:v>578.54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69125603"/>
        <c:axId val="894727166"/>
      </c:barChart>
      <c:catAx>
        <c:axId val="869125603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727166"/>
        <c:crosses val="autoZero"/>
        <c:auto val="1"/>
        <c:lblAlgn val="ctr"/>
        <c:lblOffset val="100"/>
        <c:noMultiLvlLbl val="0"/>
      </c:catAx>
      <c:valAx>
        <c:axId val="8947271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91256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b4149f-9192-416e-86d9-f54ea2ce3f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[comics_report.xlsx]pivot_table!PivotTable3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uk-UA"/>
              <a:t>Total_revenue by month</a:t>
            </a:r>
            <a:endParaRPr lang="en-US" altLang="uk-UA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287890727607"/>
          <c:y val="0.176552042464805"/>
          <c:w val="0.845468873128448"/>
          <c:h val="0.711839372259405"/>
        </c:manualLayout>
      </c:layout>
      <c:lineChart>
        <c:grouping val="standard"/>
        <c:varyColors val="0"/>
        <c:ser>
          <c:idx val="0"/>
          <c:order val="0"/>
          <c:tx>
            <c:strRef>
              <c:f>pivot_table!$B$75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37037037037037"/>
                  <c:y val="-0.069928456035079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575256107171001"/>
                  <c:y val="-0.06000461573967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397951142631994"/>
                  <c:y val="-0.04823447957535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562122406094037"/>
                  <c:y val="-0.04569582275559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98712897294458"/>
                  <c:y val="-0.04108008308331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451799317047544"/>
                  <c:y val="-0.06254327255942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pivot_table!$A$76:$A$82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pivot_table!$B$76:$B$82</c:f>
              <c:numCache>
                <c:formatCode>General</c:formatCode>
                <c:ptCount val="6"/>
                <c:pt idx="0">
                  <c:v>69.96</c:v>
                </c:pt>
                <c:pt idx="1">
                  <c:v>84.91</c:v>
                </c:pt>
                <c:pt idx="2">
                  <c:v>295.75</c:v>
                </c:pt>
                <c:pt idx="3">
                  <c:v>349.7</c:v>
                </c:pt>
                <c:pt idx="4">
                  <c:v>540.53</c:v>
                </c:pt>
                <c:pt idx="5">
                  <c:v>586.52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5671339"/>
        <c:axId val="957400847"/>
      </c:lineChart>
      <c:catAx>
        <c:axId val="8156713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400847"/>
        <c:crosses val="autoZero"/>
        <c:auto val="1"/>
        <c:lblAlgn val="ctr"/>
        <c:lblOffset val="100"/>
        <c:noMultiLvlLbl val="0"/>
      </c:catAx>
      <c:valAx>
        <c:axId val="9574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6713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7c4224-1a08-43c9-a826-c7dc638ccb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[comics_report.xlsx]pivot_table!PivotTable4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Refunds by Monts</a:t>
            </a:r>
          </a:p>
        </c:rich>
      </c:tx>
      <c:layout>
        <c:manualLayout>
          <c:xMode val="edge"/>
          <c:yMode val="edge"/>
          <c:x val="0.462782253489164"/>
          <c:y val="0.02486313868613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pivot_table!$B$90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pivot_table!$A$91:$A$97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pivot_table!$B$91:$B$97</c:f>
              <c:numCache>
                <c:formatCode>General</c:formatCode>
                <c:ptCount val="6"/>
                <c:pt idx="0">
                  <c:v>39.98</c:v>
                </c:pt>
                <c:pt idx="1">
                  <c:v>9.99</c:v>
                </c:pt>
                <c:pt idx="2">
                  <c:v>39.98</c:v>
                </c:pt>
                <c:pt idx="3">
                  <c:v>34.97</c:v>
                </c:pt>
                <c:pt idx="4">
                  <c:v>49.97</c:v>
                </c:pt>
                <c:pt idx="5">
                  <c:v>34.97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814822230"/>
        <c:axId val="999843600"/>
      </c:lineChart>
      <c:catAx>
        <c:axId val="8148222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843600"/>
        <c:crosses val="autoZero"/>
        <c:auto val="1"/>
        <c:lblAlgn val="ctr"/>
        <c:lblOffset val="100"/>
        <c:noMultiLvlLbl val="0"/>
      </c:catAx>
      <c:valAx>
        <c:axId val="9998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8222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765343b-9aae-4c7b-b4d2-82794b7b39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234</xdr:col>
      <xdr:colOff>417830</xdr:colOff>
      <xdr:row>13</xdr:row>
      <xdr:rowOff>80645</xdr:rowOff>
    </xdr:from>
    <xdr:to>
      <xdr:col>242</xdr:col>
      <xdr:colOff>184150</xdr:colOff>
      <xdr:row>28</xdr:row>
      <xdr:rowOff>80645</xdr:rowOff>
    </xdr:to>
    <xdr:graphicFrame>
      <xdr:nvGraphicFramePr>
        <xdr:cNvPr id="2" name="Chart 1"/>
        <xdr:cNvGraphicFramePr/>
      </xdr:nvGraphicFramePr>
      <xdr:xfrm>
        <a:off x="148878290" y="2458085"/>
        <a:ext cx="46431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189865</xdr:colOff>
      <xdr:row>2</xdr:row>
      <xdr:rowOff>106045</xdr:rowOff>
    </xdr:from>
    <xdr:to>
      <xdr:col>2</xdr:col>
      <xdr:colOff>668655</xdr:colOff>
      <xdr:row>9</xdr:row>
      <xdr:rowOff>146050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vice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865" y="471805"/>
              <a:ext cx="3061970" cy="1320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340360</xdr:colOff>
      <xdr:row>8</xdr:row>
      <xdr:rowOff>106045</xdr:rowOff>
    </xdr:from>
    <xdr:to>
      <xdr:col>24</xdr:col>
      <xdr:colOff>48260</xdr:colOff>
      <xdr:row>30</xdr:row>
      <xdr:rowOff>103505</xdr:rowOff>
    </xdr:to>
    <xdr:graphicFrame>
      <xdr:nvGraphicFramePr>
        <xdr:cNvPr id="5" name="Chart 4" descr="7b0a202020202263686172745265734964223a202234363130333534220a7d0a"/>
        <xdr:cNvGraphicFramePr/>
      </xdr:nvGraphicFramePr>
      <xdr:xfrm>
        <a:off x="12250420" y="1569085"/>
        <a:ext cx="8242300" cy="402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555625</xdr:colOff>
      <xdr:row>31</xdr:row>
      <xdr:rowOff>45720</xdr:rowOff>
    </xdr:from>
    <xdr:to>
      <xdr:col>8</xdr:col>
      <xdr:colOff>73025</xdr:colOff>
      <xdr:row>54</xdr:row>
      <xdr:rowOff>43815</xdr:rowOff>
    </xdr:to>
    <xdr:graphicFrame>
      <xdr:nvGraphicFramePr>
        <xdr:cNvPr id="10" name="Chart 9" descr="7b0a202020202263686172745265734964223a202234363130333534220a7d0a"/>
        <xdr:cNvGraphicFramePr/>
      </xdr:nvGraphicFramePr>
      <xdr:xfrm>
        <a:off x="3138805" y="5715000"/>
        <a:ext cx="7350760" cy="4204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342265</xdr:colOff>
      <xdr:row>25</xdr:row>
      <xdr:rowOff>65405</xdr:rowOff>
    </xdr:from>
    <xdr:to>
      <xdr:col>1</xdr:col>
      <xdr:colOff>1088390</xdr:colOff>
      <xdr:row>31</xdr:row>
      <xdr:rowOff>161290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evice_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_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265" y="4637405"/>
              <a:ext cx="1828165" cy="1193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314960</xdr:colOff>
      <xdr:row>56</xdr:row>
      <xdr:rowOff>64770</xdr:rowOff>
    </xdr:from>
    <xdr:to>
      <xdr:col>6</xdr:col>
      <xdr:colOff>149225</xdr:colOff>
      <xdr:row>70</xdr:row>
      <xdr:rowOff>79375</xdr:rowOff>
    </xdr:to>
    <xdr:graphicFrame>
      <xdr:nvGraphicFramePr>
        <xdr:cNvPr id="7" name="Chart 6"/>
        <xdr:cNvGraphicFramePr/>
      </xdr:nvGraphicFramePr>
      <xdr:xfrm>
        <a:off x="2898140" y="10306050"/>
        <a:ext cx="5838825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450850</xdr:colOff>
      <xdr:row>71</xdr:row>
      <xdr:rowOff>227330</xdr:rowOff>
    </xdr:from>
    <xdr:to>
      <xdr:col>5</xdr:col>
      <xdr:colOff>773430</xdr:colOff>
      <xdr:row>84</xdr:row>
      <xdr:rowOff>89535</xdr:rowOff>
    </xdr:to>
    <xdr:graphicFrame>
      <xdr:nvGraphicFramePr>
        <xdr:cNvPr id="8" name="Chart 7"/>
        <xdr:cNvGraphicFramePr/>
      </xdr:nvGraphicFramePr>
      <xdr:xfrm>
        <a:off x="3034030" y="13463270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358140</xdr:colOff>
      <xdr:row>88</xdr:row>
      <xdr:rowOff>148590</xdr:rowOff>
    </xdr:from>
    <xdr:to>
      <xdr:col>5</xdr:col>
      <xdr:colOff>1442085</xdr:colOff>
      <xdr:row>103</xdr:row>
      <xdr:rowOff>149225</xdr:rowOff>
    </xdr:to>
    <xdr:graphicFrame>
      <xdr:nvGraphicFramePr>
        <xdr:cNvPr id="9" name="Chart 8"/>
        <xdr:cNvGraphicFramePr/>
      </xdr:nvGraphicFramePr>
      <xdr:xfrm>
        <a:off x="2941320" y="16996410"/>
        <a:ext cx="5587365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594360</xdr:colOff>
      <xdr:row>51</xdr:row>
      <xdr:rowOff>91440</xdr:rowOff>
    </xdr:from>
    <xdr:to>
      <xdr:col>16</xdr:col>
      <xdr:colOff>0</xdr:colOff>
      <xdr:row>61</xdr:row>
      <xdr:rowOff>109220</xdr:rowOff>
    </xdr:to>
    <xdr:pic>
      <xdr:nvPicPr>
        <xdr:cNvPr id="6" name="Picture 5" descr="Стрелка вниз – Бесплатные иконки: стрелы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3723620" y="9418320"/>
          <a:ext cx="1844040" cy="18465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6307.0103935185" refreshedBy="Емір" recordCount="500">
  <cacheSource type="worksheet">
    <worksheetSource name="users"/>
  </cacheSource>
  <cacheFields count="12">
    <cacheField name="user_id" numFmtId="0">
      <sharedItems containsSemiMixedTypes="0" containsString="0" containsNumber="1" containsInteger="1" minValue="1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registered_at" numFmtId="22">
      <sharedItems containsSemiMixedTypes="0" containsString="0" containsNonDate="0" containsDate="1" minDate="2026-01-01T08:26:47" maxDate="2026-06-19T14:37:08" count="500">
        <d v="2026-04-29T09:36:55"/>
        <d v="2026-05-02T06:07:41"/>
        <d v="2026-02-22T09:38:54"/>
        <d v="2026-05-14T18:39:13"/>
        <d v="2026-06-05T11:39:04"/>
        <d v="2026-06-19T04:31:30"/>
        <d v="2026-04-07T18:30:45"/>
        <d v="2026-01-11T20:29:56"/>
        <d v="2026-04-30T07:06:27"/>
        <d v="2026-03-17T05:56:14"/>
        <d v="2026-01-31T14:08:09"/>
        <d v="2026-03-20T13:28:27"/>
        <d v="2026-03-11T10:41:27"/>
        <d v="2026-06-01T09:16:09"/>
        <d v="2026-04-08T18:14:10"/>
        <d v="2026-04-13T18:44:34"/>
        <d v="2026-03-25T11:15:45"/>
        <d v="2026-05-27T10:39:53"/>
        <d v="2026-01-03T23:39:12"/>
        <d v="2026-01-28T00:29:44"/>
        <d v="2026-06-07T00:00:27"/>
        <d v="2026-02-06T06:03:39"/>
        <d v="2026-04-04T02:24:14"/>
        <d v="2026-01-23T16:50:51"/>
        <d v="2026-01-13T10:36:58"/>
        <d v="2026-04-20T02:29:14"/>
        <d v="2026-03-09T00:01:45"/>
        <d v="2026-05-21T19:32:24"/>
        <d v="2026-04-25T09:10:34"/>
        <d v="2026-03-12T18:38:40"/>
        <d v="2026-01-20T17:43:44"/>
        <d v="2026-04-12T10:49:52"/>
        <d v="2026-06-03T23:04:10"/>
        <d v="2026-05-01T01:47:28"/>
        <d v="2026-02-02T16:09:20"/>
        <d v="2026-05-04T23:47:57"/>
        <d v="2026-06-07T10:43:51"/>
        <d v="2026-04-28T05:04:24"/>
        <d v="2026-02-14T10:29:59"/>
        <d v="2026-05-22T18:48:19"/>
        <d v="2026-06-10T04:09:01"/>
        <d v="2026-03-20T10:01:19"/>
        <d v="2026-04-11T23:32:00"/>
        <d v="2026-04-21T02:54:11"/>
        <d v="2026-01-12T18:34:55"/>
        <d v="2026-03-11T17:22:12"/>
        <d v="2026-05-29T01:24:42"/>
        <d v="2026-05-19T13:15:08"/>
        <d v="2026-01-21T18:06:06"/>
        <d v="2026-05-27T18:15:12"/>
        <d v="2026-02-23T00:27:33"/>
        <d v="2026-01-19T20:10:47"/>
        <d v="2026-03-22T06:33:56"/>
        <d v="2026-04-27T06:46:03"/>
        <d v="2026-03-06T17:57:43"/>
        <d v="2026-01-31T21:46:51"/>
        <d v="2026-04-06T07:21:16"/>
        <d v="2026-01-24T18:31:11"/>
        <d v="2026-05-26T00:06:49"/>
        <d v="2026-04-24T20:23:31"/>
        <d v="2026-06-10T12:56:10"/>
        <d v="2026-04-19T17:10:51"/>
        <d v="2026-02-25T14:08:07"/>
        <d v="2026-05-16T09:46:01"/>
        <d v="2026-04-29T12:16:45"/>
        <d v="2026-04-06T11:54:51"/>
        <d v="2026-02-21T11:30:07"/>
        <d v="2026-01-15T21:10:16"/>
        <d v="2026-03-04T16:25:16"/>
        <d v="2026-05-04T04:38:13"/>
        <d v="2026-05-10T03:08:18"/>
        <d v="2026-02-10T13:27:16"/>
        <d v="2026-04-07T11:44:37"/>
        <d v="2026-04-07T07:49:12"/>
        <d v="2026-05-05T06:57:48"/>
        <d v="2026-01-29T14:30:34"/>
        <d v="2026-04-26T13:35:58"/>
        <d v="2026-06-14T16:37:41"/>
        <d v="2026-03-09T20:19:05"/>
        <d v="2026-03-20T02:48:37"/>
        <d v="2026-02-04T02:30:48"/>
        <d v="2026-03-29T05:32:51"/>
        <d v="2026-03-13T14:12:35"/>
        <d v="2026-03-22T20:35:33"/>
        <d v="2026-02-22T17:38:49"/>
        <d v="2026-06-17T10:07:25"/>
        <d v="2026-01-14T09:36:19"/>
        <d v="2026-02-17T03:01:30"/>
        <d v="2026-01-03T13:11:45"/>
        <d v="2026-03-23T00:57:43"/>
        <d v="2026-02-04T00:18:45"/>
        <d v="2026-03-29T21:20:46"/>
        <d v="2026-05-23T23:48:41"/>
        <d v="2026-04-29T11:01:32"/>
        <d v="2026-05-26T11:13:12"/>
        <d v="2026-04-19T04:31:22"/>
        <d v="2026-02-01T21:24:16"/>
        <d v="2026-06-11T10:46:38"/>
        <d v="2026-03-23T11:04:35"/>
        <d v="2026-03-26T10:54:17"/>
        <d v="2026-05-03T12:52:25"/>
        <d v="2026-01-05T19:30:42"/>
        <d v="2026-03-11T11:28:12"/>
        <d v="2026-04-26T00:00:25"/>
        <d v="2026-06-02T01:02:11"/>
        <d v="2026-05-25T11:35:53"/>
        <d v="2026-02-13T03:48:32"/>
        <d v="2026-04-06T01:34:58"/>
        <d v="2026-04-10T07:13:42"/>
        <d v="2026-04-26T20:21:28"/>
        <d v="2026-04-17T18:21:44"/>
        <d v="2026-05-27T00:49:44"/>
        <d v="2026-05-16T02:51:15"/>
        <d v="2026-05-13T17:59:03"/>
        <d v="2026-05-20T10:24:47"/>
        <d v="2026-01-07T13:59:07"/>
        <d v="2026-03-09T13:22:23"/>
        <d v="2026-02-03T12:40:42"/>
        <d v="2026-05-13T21:28:54"/>
        <d v="2026-05-31T01:25:18"/>
        <d v="2026-02-24T09:01:50"/>
        <d v="2026-04-29T01:46:16"/>
        <d v="2026-05-10T23:13:52"/>
        <d v="2026-04-14T13:25:11"/>
        <d v="2026-06-05T10:20:35"/>
        <d v="2026-02-28T17:24:00"/>
        <d v="2026-03-10T14:47:39"/>
        <d v="2026-04-18T22:59:23"/>
        <d v="2026-01-25T01:47:18"/>
        <d v="2026-05-22T06:44:37"/>
        <d v="2026-04-03T06:33:37"/>
        <d v="2026-01-15T06:50:46"/>
        <d v="2026-01-04T11:36:38"/>
        <d v="2026-01-28T19:34:53"/>
        <d v="2026-04-29T21:34:49"/>
        <d v="2026-06-08T06:26:20"/>
        <d v="2026-01-05T21:49:22"/>
        <d v="2026-04-29T23:36:13"/>
        <d v="2026-04-21T04:22:05"/>
        <d v="2026-03-08T17:15:11"/>
        <d v="2026-06-07T05:47:58"/>
        <d v="2026-04-13T16:12:56"/>
        <d v="2026-02-19T11:49:46"/>
        <d v="2026-06-06T17:16:56"/>
        <d v="2026-01-26T02:07:43"/>
        <d v="2026-05-17T19:18:15"/>
        <d v="2026-06-09T05:50:52"/>
        <d v="2026-05-30T09:01:35"/>
        <d v="2026-05-08T19:55:03"/>
        <d v="2026-03-20T02:50:41"/>
        <d v="2026-03-11T11:15:33"/>
        <d v="2026-01-16T18:09:18"/>
        <d v="2026-06-11T15:37:52"/>
        <d v="2026-03-06T20:17:27"/>
        <d v="2026-04-26T00:38:34"/>
        <d v="2026-05-05T15:39:34"/>
        <d v="2026-04-16T18:30:07"/>
        <d v="2026-04-01T07:09:41"/>
        <d v="2026-05-28T23:41:31"/>
        <d v="2026-04-01T10:30:05"/>
        <d v="2026-01-24T14:05:56"/>
        <d v="2026-03-29T06:37:41"/>
        <d v="2026-05-09T17:14:36"/>
        <d v="2026-01-09T12:06:08"/>
        <d v="2026-03-11T15:52:10"/>
        <d v="2026-02-06T17:40:05"/>
        <d v="2026-02-08T08:52:46"/>
        <d v="2026-05-14T21:59:12"/>
        <d v="2026-03-25T17:03:20"/>
        <d v="2026-04-02T04:49:43"/>
        <d v="2026-02-07T09:52:08"/>
        <d v="2026-01-05T07:25:03"/>
        <d v="2026-02-23T07:00:38"/>
        <d v="2026-01-04T17:01:37"/>
        <d v="2026-01-15T06:13:04"/>
        <d v="2026-06-07T12:50:33"/>
        <d v="2026-03-29T10:31:02"/>
        <d v="2026-02-05T03:05:17"/>
        <d v="2026-03-23T17:29:43"/>
        <d v="2026-05-16T02:37:43"/>
        <d v="2026-04-06T12:23:35"/>
        <d v="2026-03-24T10:09:23"/>
        <d v="2026-02-14T05:37:25"/>
        <d v="2026-01-21T22:32:34"/>
        <d v="2026-01-05T08:03:29"/>
        <d v="2026-02-23T14:59:48"/>
        <d v="2026-02-23T01:20:01"/>
        <d v="2026-03-08T19:43:40"/>
        <d v="2026-01-29T04:03:25"/>
        <d v="2026-05-10T09:39:27"/>
        <d v="2026-05-21T11:19:57"/>
        <d v="2026-05-13T11:36:26"/>
        <d v="2026-04-14T17:21:23"/>
        <d v="2026-02-24T20:40:17"/>
        <d v="2026-06-04T02:21:37"/>
        <d v="2026-04-26T17:33:20"/>
        <d v="2026-03-02T09:20:01"/>
        <d v="2026-05-25T21:20:05"/>
        <d v="2026-05-01T08:29:30"/>
        <d v="2026-05-28T19:07:27"/>
        <d v="2026-04-09T14:09:59"/>
        <d v="2026-02-26T17:27:59"/>
        <d v="2026-04-12T10:41:09"/>
        <d v="2026-03-23T15:13:04"/>
        <d v="2026-04-18T11:16:28"/>
        <d v="2026-06-19T01:02:14"/>
        <d v="2026-01-31T21:08:35"/>
        <d v="2026-01-17T16:34:40"/>
        <d v="2026-01-23T10:51:02"/>
        <d v="2026-02-07T07:35:57"/>
        <d v="2026-06-12T03:39:13"/>
        <d v="2026-01-11T22:31:17"/>
        <d v="2026-01-17T12:10:28"/>
        <d v="2026-01-15T02:11:58"/>
        <d v="2026-05-11T05:46:04"/>
        <d v="2026-01-02T10:10:20"/>
        <d v="2026-04-23T23:39:27"/>
        <d v="2026-02-27T08:24:06"/>
        <d v="2026-02-02T00:42:05"/>
        <d v="2026-05-21T20:19:07"/>
        <d v="2026-05-06T11:41:27"/>
        <d v="2026-03-08T07:41:46"/>
        <d v="2026-01-16T06:08:47"/>
        <d v="2026-02-17T11:57:20"/>
        <d v="2026-03-30T18:21:12"/>
        <d v="2026-02-08T21:56:32"/>
        <d v="2026-04-07T19:57:50"/>
        <d v="2026-02-25T01:43:01"/>
        <d v="2026-04-08T10:17:45"/>
        <d v="2026-06-19T14:37:08"/>
        <d v="2026-02-08T07:01:58"/>
        <d v="2026-01-29T06:29:13"/>
        <d v="2026-06-11T06:14:10"/>
        <d v="2026-04-05T03:50:30"/>
        <d v="2026-02-19T06:59:55"/>
        <d v="2026-06-17T17:57:12"/>
        <d v="2026-01-23T08:13:15"/>
        <d v="2026-04-10T01:25:40"/>
        <d v="2026-02-04T02:18:12"/>
        <d v="2026-05-06T04:50:56"/>
        <d v="2026-04-29T09:09:22"/>
        <d v="2026-03-29T12:21:47"/>
        <d v="2026-04-12T17:59:32"/>
        <d v="2026-06-19T04:55:23"/>
        <d v="2026-02-09T22:20:46"/>
        <d v="2026-03-25T18:39:32"/>
        <d v="2026-05-15T04:02:20"/>
        <d v="2026-06-06T19:34:32"/>
        <d v="2026-03-04T02:19:29"/>
        <d v="2026-03-09T11:28:21"/>
        <d v="2026-04-14T12:32:04"/>
        <d v="2026-01-01T12:32:25"/>
        <d v="2026-03-10T12:21:46"/>
        <d v="2026-02-13T20:05:57"/>
        <d v="2026-04-27T18:29:05"/>
        <d v="2026-05-01T18:34:39"/>
        <d v="2026-03-08T04:41:34"/>
        <d v="2026-02-10T14:26:42"/>
        <d v="2026-02-06T00:38:07"/>
        <d v="2026-04-20T09:16:21"/>
        <d v="2026-01-10T11:24:22"/>
        <d v="2026-02-03T19:50:41"/>
        <d v="2026-05-14T19:34:20"/>
        <d v="2026-06-12T04:32:02"/>
        <d v="2026-04-08T10:51:24"/>
        <d v="2026-05-04T08:44:05"/>
        <d v="2026-02-15T10:09:56"/>
        <d v="2026-06-05T08:51:11"/>
        <d v="2026-03-04T14:55:09"/>
        <d v="2026-03-02T01:30:49"/>
        <d v="2026-06-12T09:06:01"/>
        <d v="2026-05-06T07:11:50"/>
        <d v="2026-05-10T22:15:48"/>
        <d v="2026-03-16T23:17:04"/>
        <d v="2026-01-11T04:10:34"/>
        <d v="2026-06-08T01:42:40"/>
        <d v="2026-06-13T01:07:15"/>
        <d v="2026-05-14T06:49:57"/>
        <d v="2026-02-22T17:44:23"/>
        <d v="2026-01-30T03:45:39"/>
        <d v="2026-05-27T22:36:04"/>
        <d v="2026-03-29T08:09:33"/>
        <d v="2026-05-18T19:26:52"/>
        <d v="2026-03-20T09:56:09"/>
        <d v="2026-04-21T20:12:45"/>
        <d v="2026-04-10T10:20:14"/>
        <d v="2026-01-02T18:05:16"/>
        <d v="2026-06-12T23:32:16"/>
        <d v="2026-01-04T09:26:48"/>
        <d v="2026-01-02T05:31:40"/>
        <d v="2026-06-02T23:11:52"/>
        <d v="2026-02-02T08:50:07"/>
        <d v="2026-01-04T06:16:29"/>
        <d v="2026-04-16T15:17:06"/>
        <d v="2026-04-20T19:39:17"/>
        <d v="2026-03-24T12:29:16"/>
        <d v="2026-02-24T12:26:07"/>
        <d v="2026-01-30T05:15:32"/>
        <d v="2026-02-25T01:48:51"/>
        <d v="2026-03-29T10:41:06"/>
        <d v="2026-01-17T04:47:45"/>
        <d v="2026-01-23T01:21:09"/>
        <d v="2026-01-30T10:46:19"/>
        <d v="2026-01-02T22:39:24"/>
        <d v="2026-06-19T01:35:05"/>
        <d v="2026-03-01T22:34:09"/>
        <d v="2026-02-07T18:58:22"/>
        <d v="2026-03-14T12:40:13"/>
        <d v="2026-04-09T12:53:13"/>
        <d v="2026-03-21T08:44:41"/>
        <d v="2026-01-21T03:42:41"/>
        <d v="2026-01-16T04:07:55"/>
        <d v="2026-01-23T21:04:58"/>
        <d v="2026-03-06T05:20:34"/>
        <d v="2026-01-25T17:16:16"/>
        <d v="2026-01-07T11:09:28"/>
        <d v="2026-05-16T23:28:05"/>
        <d v="2026-06-01T11:31:48"/>
        <d v="2026-03-24T12:36:01"/>
        <d v="2026-03-25T11:00:55"/>
        <d v="2026-04-27T04:37:17"/>
        <d v="2026-02-13T06:16:37"/>
        <d v="2026-02-26T07:20:34"/>
        <d v="2026-05-10T10:36:39"/>
        <d v="2026-01-17T13:35:55"/>
        <d v="2026-05-24T10:39:05"/>
        <d v="2026-04-21T23:21:21"/>
        <d v="2026-05-08T12:00:22"/>
        <d v="2026-06-14T15:58:41"/>
        <d v="2026-01-15T21:24:57"/>
        <d v="2026-05-01T04:38:10"/>
        <d v="2026-06-08T22:57:02"/>
        <d v="2026-01-15T02:14:29"/>
        <d v="2026-03-20T07:57:03"/>
        <d v="2026-01-10T10:06:27"/>
        <d v="2026-05-11T08:51:44"/>
        <d v="2026-04-09T22:13:05"/>
        <d v="2026-05-30T05:12:25"/>
        <d v="2026-02-13T17:35:56"/>
        <d v="2026-02-27T22:02:52"/>
        <d v="2026-01-10T20:48:05"/>
        <d v="2026-05-07T03:26:26"/>
        <d v="2026-05-20T10:48:06"/>
        <d v="2026-05-19T04:35:40"/>
        <d v="2026-01-03T08:36:20"/>
        <d v="2026-03-23T11:27:35"/>
        <d v="2026-02-13T01:26:17"/>
        <d v="2026-02-26T21:07:27"/>
        <d v="2026-01-07T21:47:12"/>
        <d v="2026-05-22T01:18:58"/>
        <d v="2026-02-10T19:27:11"/>
        <d v="2026-04-05T13:54:54"/>
        <d v="2026-01-14T07:18:03"/>
        <d v="2026-01-28T07:05:44"/>
        <d v="2026-01-09T11:53:02"/>
        <d v="2026-06-02T16:23:42"/>
        <d v="2026-02-09T11:22:36"/>
        <d v="2026-06-05T03:06:34"/>
        <d v="2026-01-10T02:00:50"/>
        <d v="2026-02-21T12:00:29"/>
        <d v="2026-05-05T00:55:54"/>
        <d v="2026-05-06T13:56:22"/>
        <d v="2026-03-31T09:08:22"/>
        <d v="2026-02-11T21:56:13"/>
        <d v="2026-01-23T04:31:14"/>
        <d v="2026-05-22T13:01:48"/>
        <d v="2026-05-20T05:12:31"/>
        <d v="2026-02-09T07:54:54"/>
        <d v="2026-01-30T23:32:50"/>
        <d v="2026-06-14T00:36:02"/>
        <d v="2026-03-10T21:24:33"/>
        <d v="2026-01-18T06:30:04"/>
        <d v="2026-04-27T10:51:48"/>
        <d v="2026-06-01T23:48:33"/>
        <d v="2026-03-19T22:44:43"/>
        <d v="2026-05-10T04:15:42"/>
        <d v="2026-02-23T07:46:35"/>
        <d v="2026-06-06T02:17:57"/>
        <d v="2026-03-21T02:51:57"/>
        <d v="2026-05-08T13:15:40"/>
        <d v="2026-01-01T08:26:47"/>
        <d v="2026-02-23T19:18:21"/>
        <d v="2026-05-22T07:41:51"/>
        <d v="2026-01-05T22:03:40"/>
        <d v="2026-05-23T20:28:21"/>
        <d v="2026-02-11T11:07:12"/>
        <d v="2026-03-29T11:34:41"/>
        <d v="2026-03-17T05:19:22"/>
        <d v="2026-03-11T08:10:25"/>
        <d v="2026-05-11T11:24:44"/>
        <d v="2026-03-10T17:55:18"/>
        <d v="2026-02-27T08:30:06"/>
        <d v="2026-05-15T10:29:30"/>
        <d v="2026-02-19T14:12:07"/>
        <d v="2026-06-09T18:37:32"/>
        <d v="2026-04-10T11:33:52"/>
        <d v="2026-01-08T12:48:15"/>
        <d v="2026-04-18T05:18:47"/>
        <d v="2026-05-14T01:23:39"/>
        <d v="2026-01-10T03:47:45"/>
        <d v="2026-04-05T00:18:14"/>
        <d v="2026-01-20T13:00:21"/>
        <d v="2026-02-26T02:27:44"/>
        <d v="2026-06-15T07:26:58"/>
        <d v="2026-04-04T12:25:15"/>
        <d v="2026-05-20T04:33:00"/>
        <d v="2026-05-01T13:31:33"/>
        <d v="2026-03-08T00:30:50"/>
        <d v="2026-06-01T04:12:31"/>
        <d v="2026-01-26T19:47:34"/>
        <d v="2026-06-07T08:12:28"/>
        <d v="2026-01-28T08:00:21"/>
        <d v="2026-01-30T02:32:48"/>
        <d v="2026-02-02T12:17:37"/>
        <d v="2026-01-30T05:52:36"/>
        <d v="2026-05-14T14:57:55"/>
        <d v="2026-04-01T21:45:14"/>
        <d v="2026-02-04T05:58:52"/>
        <d v="2026-02-17T04:05:09"/>
        <d v="2026-04-01T07:23:02"/>
        <d v="2026-01-02T06:55:45"/>
        <d v="2026-03-06T15:45:21"/>
        <d v="2026-02-02T22:23:31"/>
        <d v="2026-03-26T16:47:50"/>
        <d v="2026-01-14T12:19:52"/>
        <d v="2026-03-27T16:30:41"/>
        <d v="2026-05-25T11:45:41"/>
        <d v="2026-01-04T19:59:27"/>
        <d v="2026-01-27T05:29:26"/>
        <d v="2026-02-19T07:30:51"/>
        <d v="2026-01-29T12:33:57"/>
        <d v="2026-05-09T15:20:40"/>
        <d v="2026-04-24T16:36:19"/>
        <d v="2026-06-03T15:20:19"/>
        <d v="2026-05-24T22:08:16"/>
        <d v="2026-02-13T09:11:56"/>
        <d v="2026-02-03T10:44:18"/>
        <d v="2026-02-18T14:46:38"/>
        <d v="2026-01-13T01:37:19"/>
        <d v="2026-03-01T04:19:30"/>
        <d v="2026-04-21T06:59:53"/>
        <d v="2026-06-14T19:43:44"/>
        <d v="2026-01-26T19:46:01"/>
        <d v="2026-04-24T14:47:07"/>
        <d v="2026-01-18T12:09:50"/>
        <d v="2026-05-29T11:05:06"/>
        <d v="2026-05-02T05:14:42"/>
        <d v="2026-05-30T04:31:32"/>
        <d v="2026-04-12T05:55:48"/>
        <d v="2026-05-03T17:22:17"/>
        <d v="2026-05-17T05:09:59"/>
        <d v="2026-05-29T09:16:03"/>
        <d v="2026-02-25T12:46:31"/>
        <d v="2026-03-01T12:28:42"/>
        <d v="2026-02-12T03:49:07"/>
        <d v="2026-04-20T07:38:51"/>
        <d v="2026-04-27T03:57:12"/>
        <d v="2026-04-24T02:47:32"/>
        <d v="2026-01-11T07:56:26"/>
        <d v="2026-02-03T15:03:20"/>
        <d v="2026-01-20T12:54:14"/>
        <d v="2026-01-13T03:39:18"/>
        <d v="2026-04-07T01:50:39"/>
        <d v="2026-01-30T04:59:27"/>
        <d v="2026-03-16T17:12:16"/>
        <d v="2026-05-21T18:25:48"/>
        <d v="2026-03-03T05:35:01"/>
        <d v="2026-01-25T07:54:34"/>
        <d v="2026-04-15T02:55:43"/>
        <d v="2026-06-14T20:02:37"/>
        <d v="2026-02-16T15:44:51"/>
        <d v="2026-02-12T18:17:03"/>
        <d v="2026-04-21T09:10:33"/>
        <d v="2026-02-06T20:07:42"/>
        <d v="2026-05-25T18:39:30"/>
        <d v="2026-03-06T20:37:14"/>
        <d v="2026-05-21T05:40:56"/>
        <d v="2026-03-21T18:12:02"/>
        <d v="2026-03-22T17:01:18"/>
        <d v="2026-04-07T03:19:47"/>
        <d v="2026-02-05T13:41:43"/>
        <d v="2026-02-18T14:36:24"/>
        <d v="2026-04-22T00:09:10"/>
        <d v="2026-02-01T03:56:57"/>
        <d v="2026-05-12T12:19:52"/>
        <d v="2026-05-23T15:13:35"/>
        <d v="2026-06-10T21:09:14"/>
        <d v="2026-05-28T05:18:23"/>
        <d v="2026-04-25T20:32:15"/>
        <d v="2026-01-03T03:58:15"/>
        <d v="2026-04-16T13:02:29"/>
        <d v="2026-02-20T23:17:13"/>
        <d v="2026-05-01T04:46:59"/>
        <d v="2026-02-15T05:52:00"/>
        <d v="2026-02-23T11:31:57"/>
        <d v="2026-01-18T04:41:52"/>
        <d v="2026-06-08T18:06:48"/>
        <d v="2026-06-11T12:56:53"/>
        <d v="2026-04-10T10:23:17"/>
        <d v="2026-03-21T00:16:27"/>
      </sharedItems>
    </cacheField>
    <cacheField name="country_code" numFmtId="0">
      <sharedItems count="6">
        <s v="BR"/>
        <s v="US"/>
        <s v="CA"/>
        <s v="DE"/>
        <s v="GB"/>
        <s v="UA"/>
      </sharedItems>
    </cacheField>
    <cacheField name="device_type" numFmtId="0">
      <sharedItems count="3">
        <s v="desktop"/>
        <s v="tablet"/>
        <s v="mobile"/>
      </sharedItems>
    </cacheField>
    <cacheField name="campaign_id" numFmtId="0">
      <sharedItems containsString="0" containsBlank="1" containsNumber="1" containsInteger="1" minValue="1" maxValue="7" count="8">
        <n v="6"/>
        <n v="7"/>
        <n v="5"/>
        <n v="3"/>
        <n v="1"/>
        <m/>
        <n v="2"/>
        <n v="4"/>
      </sharedItems>
    </cacheField>
    <cacheField name="successful_payments_count" numFmtId="0">
      <sharedItems containsSemiMixedTypes="0" containsString="0" containsNumber="1" containsInteger="1" minValue="0" maxValue="4" count="5">
        <n v="1"/>
        <n v="0"/>
        <n v="2"/>
        <n v="3"/>
        <n v="4"/>
      </sharedItems>
    </cacheField>
    <cacheField name="paid_usd" numFmtId="0">
      <sharedItems containsSemiMixedTypes="0" containsString="0" containsNumber="1" minValue="0" maxValue="44.97" count="17">
        <n v="9.99"/>
        <n v="0"/>
        <n v="4.99"/>
        <n v="7.99"/>
        <n v="19.99"/>
        <n v="14.98"/>
        <n v="12.98"/>
        <n v="15.99"/>
        <n v="3.99"/>
        <n v="24.98"/>
        <n v="33.97"/>
        <n v="29.98"/>
        <n v="39.98"/>
        <n v="44.97"/>
        <n v="44.96"/>
        <n v="29.97"/>
        <n v="33.96"/>
      </sharedItems>
    </cacheField>
    <cacheField name="refunded_usd" numFmtId="0">
      <sharedItems containsSemiMixedTypes="0" containsString="0" containsNumber="1" minValue="0" maxValue="39.98" count="6">
        <n v="0"/>
        <n v="9.99"/>
        <n v="19.99"/>
        <n v="39.98"/>
        <n v="4.99"/>
        <n v="19.98"/>
      </sharedItems>
    </cacheField>
    <cacheField name="net_revenue_usd" numFmtId="0">
      <sharedItems containsSemiMixedTypes="0" containsString="0" containsNumber="1" minValue="0" maxValue="24.98" count="12">
        <n v="9.99"/>
        <n v="0"/>
        <n v="4.99"/>
        <n v="7.99"/>
        <n v="19.99"/>
        <n v="12.98"/>
        <n v="15.99"/>
        <n v="3.99"/>
        <n v="14.98"/>
        <n v="24.98"/>
        <n v="23.98"/>
        <n v="13.97"/>
      </sharedItems>
    </cacheField>
    <cacheField name="is_payer" numFmtId="0">
      <sharedItems containsSemiMixedTypes="0" containsString="0" containsNumber="1" containsInteger="1" minValue="0" maxValue="1" count="2">
        <n v="1"/>
        <n v="0"/>
      </sharedItems>
    </cacheField>
    <cacheField name="Field1" numFmtId="0" formula="SUM(is_payer)/COUNT(user_id)" databaseField="0"/>
    <cacheField name="Field2" numFmtId="0" formula="(SUM(is_payer)/COUNT(user_id))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6.9792824074" refreshedBy="Емір" recordCount="500">
  <cacheSource type="worksheet">
    <worksheetSource ref="A1:J501" sheet="users"/>
  </cacheSource>
  <cacheFields count="10">
    <cacheField name="user_id" numFmtId="0">
      <sharedItems containsSemiMixedTypes="0" containsString="0" containsNumber="1" containsInteger="1" minValue="0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registered_at" numFmtId="22">
      <sharedItems containsSemiMixedTypes="0" containsString="0" containsNonDate="0" containsDate="1" minDate="2026-01-01T08:26:47" maxDate="2026-06-19T14:37:08" count="500">
        <d v="2026-04-29T09:36:55"/>
        <d v="2026-05-02T06:07:41"/>
        <d v="2026-02-22T09:38:54"/>
        <d v="2026-05-14T18:39:13"/>
        <d v="2026-06-05T11:39:04"/>
        <d v="2026-06-19T04:31:30"/>
        <d v="2026-04-07T18:30:45"/>
        <d v="2026-01-11T20:29:56"/>
        <d v="2026-04-30T07:06:27"/>
        <d v="2026-03-17T05:56:14"/>
        <d v="2026-01-31T14:08:09"/>
        <d v="2026-03-20T13:28:27"/>
        <d v="2026-03-11T10:41:27"/>
        <d v="2026-06-01T09:16:09"/>
        <d v="2026-04-08T18:14:10"/>
        <d v="2026-04-13T18:44:34"/>
        <d v="2026-03-25T11:15:45"/>
        <d v="2026-05-27T10:39:53"/>
        <d v="2026-01-03T23:39:12"/>
        <d v="2026-01-28T00:29:44"/>
        <d v="2026-06-07T00:00:27"/>
        <d v="2026-02-06T06:03:39"/>
        <d v="2026-04-04T02:24:14"/>
        <d v="2026-01-23T16:50:51"/>
        <d v="2026-01-13T10:36:58"/>
        <d v="2026-04-20T02:29:14"/>
        <d v="2026-03-09T00:01:45"/>
        <d v="2026-05-21T19:32:24"/>
        <d v="2026-04-25T09:10:34"/>
        <d v="2026-03-12T18:38:40"/>
        <d v="2026-01-20T17:43:44"/>
        <d v="2026-04-12T10:49:52"/>
        <d v="2026-06-03T23:04:10"/>
        <d v="2026-05-01T01:47:28"/>
        <d v="2026-02-02T16:09:20"/>
        <d v="2026-05-04T23:47:57"/>
        <d v="2026-06-07T10:43:51"/>
        <d v="2026-04-28T05:04:24"/>
        <d v="2026-02-14T10:29:59"/>
        <d v="2026-05-22T18:48:19"/>
        <d v="2026-06-10T04:09:01"/>
        <d v="2026-03-20T10:01:19"/>
        <d v="2026-04-11T23:32:00"/>
        <d v="2026-04-21T02:54:11"/>
        <d v="2026-01-12T18:34:55"/>
        <d v="2026-03-11T17:22:12"/>
        <d v="2026-05-29T01:24:42"/>
        <d v="2026-05-19T13:15:08"/>
        <d v="2026-01-21T18:06:06"/>
        <d v="2026-05-27T18:15:12"/>
        <d v="2026-02-23T00:27:33"/>
        <d v="2026-01-19T20:10:47"/>
        <d v="2026-03-22T06:33:56"/>
        <d v="2026-04-27T06:46:03"/>
        <d v="2026-03-06T17:57:43"/>
        <d v="2026-01-31T21:46:51"/>
        <d v="2026-04-06T07:21:16"/>
        <d v="2026-01-24T18:31:11"/>
        <d v="2026-05-26T00:06:49"/>
        <d v="2026-04-24T20:23:31"/>
        <d v="2026-06-10T12:56:10"/>
        <d v="2026-04-19T17:10:51"/>
        <d v="2026-02-25T14:08:07"/>
        <d v="2026-05-16T09:46:01"/>
        <d v="2026-04-29T12:16:45"/>
        <d v="2026-04-06T11:54:51"/>
        <d v="2026-02-21T11:30:07"/>
        <d v="2026-01-15T21:10:16"/>
        <d v="2026-03-04T16:25:16"/>
        <d v="2026-05-04T04:38:13"/>
        <d v="2026-05-10T03:08:18"/>
        <d v="2026-02-10T13:27:16"/>
        <d v="2026-04-07T11:44:37"/>
        <d v="2026-04-07T07:49:12"/>
        <d v="2026-05-05T06:57:48"/>
        <d v="2026-01-29T14:30:34"/>
        <d v="2026-04-26T13:35:58"/>
        <d v="2026-06-14T16:37:41"/>
        <d v="2026-03-09T20:19:05"/>
        <d v="2026-03-20T02:48:37"/>
        <d v="2026-02-04T02:30:48"/>
        <d v="2026-03-29T05:32:51"/>
        <d v="2026-03-13T14:12:35"/>
        <d v="2026-03-22T20:35:33"/>
        <d v="2026-02-22T17:38:49"/>
        <d v="2026-06-17T10:07:25"/>
        <d v="2026-01-14T09:36:19"/>
        <d v="2026-02-17T03:01:30"/>
        <d v="2026-01-03T13:11:45"/>
        <d v="2026-03-23T00:57:43"/>
        <d v="2026-02-04T00:18:45"/>
        <d v="2026-03-29T21:20:46"/>
        <d v="2026-05-23T23:48:41"/>
        <d v="2026-04-29T11:01:32"/>
        <d v="2026-05-26T11:13:12"/>
        <d v="2026-04-19T04:31:22"/>
        <d v="2026-02-01T21:24:16"/>
        <d v="2026-06-11T10:46:38"/>
        <d v="2026-03-23T11:04:35"/>
        <d v="2026-03-26T10:54:17"/>
        <d v="2026-05-03T12:52:25"/>
        <d v="2026-01-05T19:30:42"/>
        <d v="2026-03-11T11:28:12"/>
        <d v="2026-04-26T00:00:25"/>
        <d v="2026-06-02T01:02:11"/>
        <d v="2026-05-25T11:35:53"/>
        <d v="2026-02-13T03:48:32"/>
        <d v="2026-04-06T01:34:58"/>
        <d v="2026-04-10T07:13:42"/>
        <d v="2026-04-26T20:21:28"/>
        <d v="2026-04-17T18:21:44"/>
        <d v="2026-05-27T00:49:44"/>
        <d v="2026-05-16T02:51:15"/>
        <d v="2026-05-13T17:59:03"/>
        <d v="2026-05-20T10:24:47"/>
        <d v="2026-01-07T13:59:07"/>
        <d v="2026-03-09T13:22:23"/>
        <d v="2026-02-03T12:40:42"/>
        <d v="2026-05-13T21:28:54"/>
        <d v="2026-05-31T01:25:18"/>
        <d v="2026-02-24T09:01:50"/>
        <d v="2026-04-29T01:46:16"/>
        <d v="2026-05-10T23:13:52"/>
        <d v="2026-04-14T13:25:11"/>
        <d v="2026-06-05T10:20:35"/>
        <d v="2026-02-28T17:24:00"/>
        <d v="2026-03-10T14:47:39"/>
        <d v="2026-04-18T22:59:23"/>
        <d v="2026-01-25T01:47:18"/>
        <d v="2026-05-22T06:44:37"/>
        <d v="2026-04-03T06:33:37"/>
        <d v="2026-01-15T06:50:46"/>
        <d v="2026-01-04T11:36:38"/>
        <d v="2026-01-28T19:34:53"/>
        <d v="2026-04-29T21:34:49"/>
        <d v="2026-06-08T06:26:20"/>
        <d v="2026-01-05T21:49:22"/>
        <d v="2026-04-29T23:36:13"/>
        <d v="2026-04-21T04:22:05"/>
        <d v="2026-03-08T17:15:11"/>
        <d v="2026-06-07T05:47:58"/>
        <d v="2026-04-13T16:12:56"/>
        <d v="2026-02-19T11:49:46"/>
        <d v="2026-06-06T17:16:56"/>
        <d v="2026-01-26T02:07:43"/>
        <d v="2026-05-17T19:18:15"/>
        <d v="2026-06-09T05:50:52"/>
        <d v="2026-05-30T09:01:35"/>
        <d v="2026-05-08T19:55:03"/>
        <d v="2026-03-20T02:50:41"/>
        <d v="2026-03-11T11:15:33"/>
        <d v="2026-01-16T18:09:18"/>
        <d v="2026-06-11T15:37:52"/>
        <d v="2026-03-06T20:17:27"/>
        <d v="2026-04-26T00:38:34"/>
        <d v="2026-05-05T15:39:34"/>
        <d v="2026-04-16T18:30:07"/>
        <d v="2026-04-01T07:09:41"/>
        <d v="2026-05-28T23:41:31"/>
        <d v="2026-04-01T10:30:05"/>
        <d v="2026-01-24T14:05:56"/>
        <d v="2026-03-29T06:37:41"/>
        <d v="2026-05-09T17:14:36"/>
        <d v="2026-01-09T12:06:08"/>
        <d v="2026-03-11T15:52:10"/>
        <d v="2026-02-06T17:40:05"/>
        <d v="2026-02-08T08:52:46"/>
        <d v="2026-05-14T21:59:12"/>
        <d v="2026-03-25T17:03:20"/>
        <d v="2026-04-02T04:49:43"/>
        <d v="2026-02-07T09:52:08"/>
        <d v="2026-01-05T07:25:03"/>
        <d v="2026-02-23T07:00:38"/>
        <d v="2026-01-04T17:01:37"/>
        <d v="2026-01-15T06:13:04"/>
        <d v="2026-06-07T12:50:33"/>
        <d v="2026-03-29T10:31:02"/>
        <d v="2026-02-05T03:05:17"/>
        <d v="2026-03-23T17:29:43"/>
        <d v="2026-05-16T02:37:43"/>
        <d v="2026-04-06T12:23:35"/>
        <d v="2026-03-24T10:09:23"/>
        <d v="2026-02-14T05:37:25"/>
        <d v="2026-01-21T22:32:34"/>
        <d v="2026-01-05T08:03:29"/>
        <d v="2026-02-23T14:59:48"/>
        <d v="2026-02-23T01:20:01"/>
        <d v="2026-03-08T19:43:40"/>
        <d v="2026-01-29T04:03:25"/>
        <d v="2026-05-10T09:39:27"/>
        <d v="2026-05-21T11:19:57"/>
        <d v="2026-05-13T11:36:26"/>
        <d v="2026-04-14T17:21:23"/>
        <d v="2026-02-24T20:40:17"/>
        <d v="2026-06-04T02:21:37"/>
        <d v="2026-04-26T17:33:20"/>
        <d v="2026-03-02T09:20:01"/>
        <d v="2026-05-25T21:20:05"/>
        <d v="2026-05-01T08:29:30"/>
        <d v="2026-05-28T19:07:27"/>
        <d v="2026-04-09T14:09:59"/>
        <d v="2026-02-26T17:27:59"/>
        <d v="2026-04-12T10:41:09"/>
        <d v="2026-03-23T15:13:04"/>
        <d v="2026-04-18T11:16:28"/>
        <d v="2026-06-19T01:02:14"/>
        <d v="2026-01-31T21:08:35"/>
        <d v="2026-01-17T16:34:40"/>
        <d v="2026-01-23T10:51:02"/>
        <d v="2026-02-07T07:35:57"/>
        <d v="2026-06-12T03:39:13"/>
        <d v="2026-01-11T22:31:17"/>
        <d v="2026-01-17T12:10:28"/>
        <d v="2026-01-15T02:11:58"/>
        <d v="2026-05-11T05:46:04"/>
        <d v="2026-01-02T10:10:20"/>
        <d v="2026-04-23T23:39:27"/>
        <d v="2026-02-27T08:24:06"/>
        <d v="2026-02-02T00:42:05"/>
        <d v="2026-05-21T20:19:07"/>
        <d v="2026-05-06T11:41:27"/>
        <d v="2026-03-08T07:41:46"/>
        <d v="2026-01-16T06:08:47"/>
        <d v="2026-02-17T11:57:20"/>
        <d v="2026-03-30T18:21:12"/>
        <d v="2026-02-08T21:56:32"/>
        <d v="2026-04-07T19:57:50"/>
        <d v="2026-02-25T01:43:01"/>
        <d v="2026-04-08T10:17:45"/>
        <d v="2026-06-19T14:37:08"/>
        <d v="2026-02-08T07:01:58"/>
        <d v="2026-01-29T06:29:13"/>
        <d v="2026-06-11T06:14:10"/>
        <d v="2026-04-05T03:50:30"/>
        <d v="2026-02-19T06:59:55"/>
        <d v="2026-06-17T17:57:12"/>
        <d v="2026-01-23T08:13:15"/>
        <d v="2026-04-10T01:25:40"/>
        <d v="2026-02-04T02:18:12"/>
        <d v="2026-05-06T04:50:56"/>
        <d v="2026-04-29T09:09:22"/>
        <d v="2026-03-29T12:21:47"/>
        <d v="2026-04-12T17:59:32"/>
        <d v="2026-06-19T04:55:23"/>
        <d v="2026-02-09T22:20:46"/>
        <d v="2026-03-25T18:39:32"/>
        <d v="2026-05-15T04:02:20"/>
        <d v="2026-06-06T19:34:32"/>
        <d v="2026-03-04T02:19:29"/>
        <d v="2026-03-09T11:28:21"/>
        <d v="2026-04-14T12:32:04"/>
        <d v="2026-01-01T12:32:25"/>
        <d v="2026-03-10T12:21:46"/>
        <d v="2026-02-13T20:05:57"/>
        <d v="2026-04-27T18:29:05"/>
        <d v="2026-05-01T18:34:39"/>
        <d v="2026-03-08T04:41:34"/>
        <d v="2026-02-10T14:26:42"/>
        <d v="2026-02-06T00:38:07"/>
        <d v="2026-04-20T09:16:21"/>
        <d v="2026-01-10T11:24:22"/>
        <d v="2026-02-03T19:50:41"/>
        <d v="2026-05-14T19:34:20"/>
        <d v="2026-06-12T04:32:02"/>
        <d v="2026-04-08T10:51:24"/>
        <d v="2026-05-04T08:44:05"/>
        <d v="2026-02-15T10:09:56"/>
        <d v="2026-06-05T08:51:11"/>
        <d v="2026-03-04T14:55:09"/>
        <d v="2026-03-02T01:30:49"/>
        <d v="2026-06-12T09:06:01"/>
        <d v="2026-05-06T07:11:50"/>
        <d v="2026-05-10T22:15:48"/>
        <d v="2026-03-16T23:17:04"/>
        <d v="2026-01-11T04:10:34"/>
        <d v="2026-06-08T01:42:40"/>
        <d v="2026-06-13T01:07:15"/>
        <d v="2026-05-14T06:49:57"/>
        <d v="2026-02-22T17:44:23"/>
        <d v="2026-01-30T03:45:39"/>
        <d v="2026-05-27T22:36:04"/>
        <d v="2026-03-29T08:09:33"/>
        <d v="2026-05-18T19:26:52"/>
        <d v="2026-03-20T09:56:09"/>
        <d v="2026-04-21T20:12:45"/>
        <d v="2026-04-10T10:20:14"/>
        <d v="2026-01-02T18:05:16"/>
        <d v="2026-06-12T23:32:16"/>
        <d v="2026-01-04T09:26:48"/>
        <d v="2026-01-02T05:31:40"/>
        <d v="2026-06-02T23:11:52"/>
        <d v="2026-02-02T08:50:07"/>
        <d v="2026-01-04T06:16:29"/>
        <d v="2026-04-16T15:17:06"/>
        <d v="2026-04-20T19:39:17"/>
        <d v="2026-03-24T12:29:16"/>
        <d v="2026-02-24T12:26:07"/>
        <d v="2026-01-30T05:15:32"/>
        <d v="2026-02-25T01:48:51"/>
        <d v="2026-03-29T10:41:06"/>
        <d v="2026-01-17T04:47:45"/>
        <d v="2026-01-23T01:21:09"/>
        <d v="2026-01-30T10:46:19"/>
        <d v="2026-01-02T22:39:24"/>
        <d v="2026-06-19T01:35:05"/>
        <d v="2026-03-01T22:34:09"/>
        <d v="2026-02-07T18:58:22"/>
        <d v="2026-03-14T12:40:13"/>
        <d v="2026-04-09T12:53:13"/>
        <d v="2026-03-21T08:44:41"/>
        <d v="2026-01-21T03:42:41"/>
        <d v="2026-01-16T04:07:55"/>
        <d v="2026-01-23T21:04:58"/>
        <d v="2026-03-06T05:20:34"/>
        <d v="2026-01-25T17:16:16"/>
        <d v="2026-01-07T11:09:28"/>
        <d v="2026-05-16T23:28:05"/>
        <d v="2026-06-01T11:31:48"/>
        <d v="2026-03-24T12:36:01"/>
        <d v="2026-03-25T11:00:55"/>
        <d v="2026-04-27T04:37:17"/>
        <d v="2026-02-13T06:16:37"/>
        <d v="2026-02-26T07:20:34"/>
        <d v="2026-05-10T10:36:39"/>
        <d v="2026-01-17T13:35:55"/>
        <d v="2026-05-24T10:39:05"/>
        <d v="2026-04-21T23:21:21"/>
        <d v="2026-05-08T12:00:22"/>
        <d v="2026-06-14T15:58:41"/>
        <d v="2026-01-15T21:24:57"/>
        <d v="2026-05-01T04:38:10"/>
        <d v="2026-06-08T22:57:02"/>
        <d v="2026-01-15T02:14:29"/>
        <d v="2026-03-20T07:57:03"/>
        <d v="2026-01-10T10:06:27"/>
        <d v="2026-05-11T08:51:44"/>
        <d v="2026-04-09T22:13:05"/>
        <d v="2026-05-30T05:12:25"/>
        <d v="2026-02-13T17:35:56"/>
        <d v="2026-02-27T22:02:52"/>
        <d v="2026-01-10T20:48:05"/>
        <d v="2026-05-07T03:26:26"/>
        <d v="2026-05-20T10:48:06"/>
        <d v="2026-05-19T04:35:40"/>
        <d v="2026-01-03T08:36:20"/>
        <d v="2026-03-23T11:27:35"/>
        <d v="2026-02-13T01:26:17"/>
        <d v="2026-02-26T21:07:27"/>
        <d v="2026-01-07T21:47:12"/>
        <d v="2026-05-22T01:18:58"/>
        <d v="2026-02-10T19:27:11"/>
        <d v="2026-04-05T13:54:54"/>
        <d v="2026-01-14T07:18:03"/>
        <d v="2026-01-28T07:05:44"/>
        <d v="2026-01-09T11:53:02"/>
        <d v="2026-06-02T16:23:42"/>
        <d v="2026-02-09T11:22:36"/>
        <d v="2026-06-05T03:06:34"/>
        <d v="2026-01-10T02:00:50"/>
        <d v="2026-02-21T12:00:29"/>
        <d v="2026-05-05T00:55:54"/>
        <d v="2026-05-06T13:56:22"/>
        <d v="2026-03-31T09:08:22"/>
        <d v="2026-02-11T21:56:13"/>
        <d v="2026-01-23T04:31:14"/>
        <d v="2026-05-22T13:01:48"/>
        <d v="2026-05-20T05:12:31"/>
        <d v="2026-02-09T07:54:54"/>
        <d v="2026-01-30T23:32:50"/>
        <d v="2026-06-14T00:36:02"/>
        <d v="2026-03-10T21:24:33"/>
        <d v="2026-01-18T06:30:04"/>
        <d v="2026-04-27T10:51:48"/>
        <d v="2026-06-01T23:48:33"/>
        <d v="2026-03-19T22:44:43"/>
        <d v="2026-05-10T04:15:42"/>
        <d v="2026-02-23T07:46:35"/>
        <d v="2026-06-06T02:17:57"/>
        <d v="2026-03-21T02:51:57"/>
        <d v="2026-05-08T13:15:40"/>
        <d v="2026-01-01T08:26:47"/>
        <d v="2026-02-23T19:18:21"/>
        <d v="2026-05-22T07:41:51"/>
        <d v="2026-01-05T22:03:40"/>
        <d v="2026-05-23T20:28:21"/>
        <d v="2026-02-11T11:07:12"/>
        <d v="2026-03-29T11:34:41"/>
        <d v="2026-03-17T05:19:22"/>
        <d v="2026-03-11T08:10:25"/>
        <d v="2026-05-11T11:24:44"/>
        <d v="2026-03-10T17:55:18"/>
        <d v="2026-02-27T08:30:06"/>
        <d v="2026-05-15T10:29:30"/>
        <d v="2026-02-19T14:12:07"/>
        <d v="2026-06-09T18:37:32"/>
        <d v="2026-04-10T11:33:52"/>
        <d v="2026-01-08T12:48:15"/>
        <d v="2026-04-18T05:18:47"/>
        <d v="2026-05-14T01:23:39"/>
        <d v="2026-01-10T03:47:45"/>
        <d v="2026-04-05T00:18:14"/>
        <d v="2026-01-20T13:00:21"/>
        <d v="2026-02-26T02:27:44"/>
        <d v="2026-06-15T07:26:58"/>
        <d v="2026-04-04T12:25:15"/>
        <d v="2026-05-20T04:33:00"/>
        <d v="2026-05-01T13:31:33"/>
        <d v="2026-03-08T00:30:50"/>
        <d v="2026-06-01T04:12:31"/>
        <d v="2026-01-26T19:47:34"/>
        <d v="2026-06-07T08:12:28"/>
        <d v="2026-01-28T08:00:21"/>
        <d v="2026-01-30T02:32:48"/>
        <d v="2026-02-02T12:17:37"/>
        <d v="2026-01-30T05:52:36"/>
        <d v="2026-05-14T14:57:55"/>
        <d v="2026-04-01T21:45:14"/>
        <d v="2026-02-04T05:58:52"/>
        <d v="2026-02-17T04:05:09"/>
        <d v="2026-04-01T07:23:02"/>
        <d v="2026-01-02T06:55:45"/>
        <d v="2026-03-06T15:45:21"/>
        <d v="2026-02-02T22:23:31"/>
        <d v="2026-03-26T16:47:50"/>
        <d v="2026-01-14T12:19:52"/>
        <d v="2026-03-27T16:30:41"/>
        <d v="2026-05-25T11:45:41"/>
        <d v="2026-01-04T19:59:27"/>
        <d v="2026-01-27T05:29:26"/>
        <d v="2026-02-19T07:30:51"/>
        <d v="2026-01-29T12:33:57"/>
        <d v="2026-05-09T15:20:40"/>
        <d v="2026-04-24T16:36:19"/>
        <d v="2026-06-03T15:20:19"/>
        <d v="2026-05-24T22:08:16"/>
        <d v="2026-02-13T09:11:56"/>
        <d v="2026-02-03T10:44:18"/>
        <d v="2026-02-18T14:46:38"/>
        <d v="2026-01-13T01:37:19"/>
        <d v="2026-03-01T04:19:30"/>
        <d v="2026-04-21T06:59:53"/>
        <d v="2026-06-14T19:43:44"/>
        <d v="2026-01-26T19:46:01"/>
        <d v="2026-04-24T14:47:07"/>
        <d v="2026-01-18T12:09:50"/>
        <d v="2026-05-29T11:05:06"/>
        <d v="2026-05-02T05:14:42"/>
        <d v="2026-05-30T04:31:32"/>
        <d v="2026-04-12T05:55:48"/>
        <d v="2026-05-03T17:22:17"/>
        <d v="2026-05-17T05:09:59"/>
        <d v="2026-05-29T09:16:03"/>
        <d v="2026-02-25T12:46:31"/>
        <d v="2026-03-01T12:28:42"/>
        <d v="2026-02-12T03:49:07"/>
        <d v="2026-04-20T07:38:51"/>
        <d v="2026-04-27T03:57:12"/>
        <d v="2026-04-24T02:47:32"/>
        <d v="2026-01-11T07:56:26"/>
        <d v="2026-02-03T15:03:20"/>
        <d v="2026-01-20T12:54:14"/>
        <d v="2026-01-13T03:39:18"/>
        <d v="2026-04-07T01:50:39"/>
        <d v="2026-01-30T04:59:27"/>
        <d v="2026-03-16T17:12:16"/>
        <d v="2026-05-21T18:25:48"/>
        <d v="2026-03-03T05:35:01"/>
        <d v="2026-01-25T07:54:34"/>
        <d v="2026-04-15T02:55:43"/>
        <d v="2026-06-14T20:02:37"/>
        <d v="2026-02-16T15:44:51"/>
        <d v="2026-02-12T18:17:03"/>
        <d v="2026-04-21T09:10:33"/>
        <d v="2026-02-06T20:07:42"/>
        <d v="2026-05-25T18:39:30"/>
        <d v="2026-03-06T20:37:14"/>
        <d v="2026-05-21T05:40:56"/>
        <d v="2026-03-21T18:12:02"/>
        <d v="2026-03-22T17:01:18"/>
        <d v="2026-04-07T03:19:47"/>
        <d v="2026-02-05T13:41:43"/>
        <d v="2026-02-18T14:36:24"/>
        <d v="2026-04-22T00:09:10"/>
        <d v="2026-02-01T03:56:57"/>
        <d v="2026-05-12T12:19:52"/>
        <d v="2026-05-23T15:13:35"/>
        <d v="2026-06-10T21:09:14"/>
        <d v="2026-05-28T05:18:23"/>
        <d v="2026-04-25T20:32:15"/>
        <d v="2026-01-03T03:58:15"/>
        <d v="2026-04-16T13:02:29"/>
        <d v="2026-02-20T23:17:13"/>
        <d v="2026-05-01T04:46:59"/>
        <d v="2026-02-15T05:52:00"/>
        <d v="2026-02-23T11:31:57"/>
        <d v="2026-01-18T04:41:52"/>
        <d v="2026-06-08T18:06:48"/>
        <d v="2026-06-11T12:56:53"/>
        <d v="2026-04-10T10:23:17"/>
        <d v="2026-03-21T00:16:27"/>
      </sharedItems>
    </cacheField>
    <cacheField name="country_code" numFmtId="0">
      <sharedItems count="6">
        <s v="BR"/>
        <s v="US"/>
        <s v="CA"/>
        <s v="DE"/>
        <s v="GB"/>
        <s v="UA"/>
      </sharedItems>
    </cacheField>
    <cacheField name="device_type" numFmtId="0">
      <sharedItems count="3">
        <s v="desktop"/>
        <s v="tablet"/>
        <s v="mobile"/>
      </sharedItems>
    </cacheField>
    <cacheField name="campaign_id" numFmtId="0">
      <sharedItems containsString="0" containsBlank="1" containsNumber="1" containsInteger="1" minValue="0" maxValue="7" count="8">
        <n v="6"/>
        <n v="7"/>
        <n v="5"/>
        <n v="3"/>
        <n v="1"/>
        <m/>
        <n v="2"/>
        <n v="4"/>
      </sharedItems>
    </cacheField>
    <cacheField name="successful_payments_count" numFmtId="0">
      <sharedItems containsSemiMixedTypes="0" containsString="0" containsNumber="1" containsInteger="1" minValue="0" maxValue="4" count="5">
        <n v="1"/>
        <n v="0"/>
        <n v="2"/>
        <n v="3"/>
        <n v="4"/>
      </sharedItems>
    </cacheField>
    <cacheField name="paid_usd" numFmtId="0">
      <sharedItems containsSemiMixedTypes="0" containsString="0" containsNumber="1" minValue="0" maxValue="44.97" count="17">
        <n v="9.99"/>
        <n v="0"/>
        <n v="4.99"/>
        <n v="7.99"/>
        <n v="19.99"/>
        <n v="14.98"/>
        <n v="12.98"/>
        <n v="15.99"/>
        <n v="3.99"/>
        <n v="24.98"/>
        <n v="33.97"/>
        <n v="29.98"/>
        <n v="39.98"/>
        <n v="44.97"/>
        <n v="44.96"/>
        <n v="29.97"/>
        <n v="33.96"/>
      </sharedItems>
    </cacheField>
    <cacheField name="refunded_usd" numFmtId="0">
      <sharedItems containsSemiMixedTypes="0" containsString="0" containsNumber="1" minValue="0" maxValue="39.98" count="6">
        <n v="0"/>
        <n v="9.99"/>
        <n v="19.99"/>
        <n v="39.98"/>
        <n v="4.99"/>
        <n v="19.98"/>
      </sharedItems>
    </cacheField>
    <cacheField name="net_revenue_usd" numFmtId="0">
      <sharedItems containsSemiMixedTypes="0" containsString="0" containsNumber="1" minValue="0" maxValue="24.98" count="12">
        <n v="9.99"/>
        <n v="0"/>
        <n v="4.99"/>
        <n v="7.99"/>
        <n v="19.99"/>
        <n v="12.98"/>
        <n v="15.99"/>
        <n v="3.99"/>
        <n v="14.98"/>
        <n v="24.98"/>
        <n v="23.98"/>
        <n v="13.97"/>
      </sharedItems>
    </cacheField>
    <cacheField name="is_payer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6.9969907407" refreshedBy="Емір" recordCount="202">
  <cacheSource type="worksheet">
    <worksheetSource ref="A1:Q203" sheet="payments"/>
  </cacheSource>
  <cacheFields count="17">
    <cacheField name="payment_id" numFmtId="0">
      <sharedItems containsSemiMixedTypes="0" containsString="0" containsNumber="1" containsInteger="1" minValue="0" maxValue="202" count="202">
        <n v="188"/>
        <n v="1"/>
        <n v="189"/>
        <n v="190"/>
        <n v="191"/>
        <n v="192"/>
        <n v="2"/>
        <n v="193"/>
        <n v="194"/>
        <n v="195"/>
        <n v="3"/>
        <n v="196"/>
        <n v="197"/>
        <n v="198"/>
        <n v="199"/>
        <n v="200"/>
        <n v="4"/>
        <n v="201"/>
        <n v="202"/>
        <n v="5"/>
        <n v="6"/>
        <n v="7"/>
        <n v="8"/>
        <n v="10"/>
        <n v="9"/>
        <n v="11"/>
        <n v="12"/>
        <n v="13"/>
        <n v="14"/>
        <n v="15"/>
        <n v="16"/>
        <n v="18"/>
        <n v="17"/>
        <n v="20"/>
        <n v="19"/>
        <n v="21"/>
        <n v="23"/>
        <n v="22"/>
        <n v="24"/>
        <n v="26"/>
        <n v="25"/>
        <n v="28"/>
        <n v="27"/>
        <n v="29"/>
        <n v="31"/>
        <n v="30"/>
        <n v="32"/>
        <n v="33"/>
        <n v="35"/>
        <n v="34"/>
        <n v="37"/>
        <n v="36"/>
        <n v="38"/>
        <n v="39"/>
        <n v="40"/>
        <n v="41"/>
        <n v="42"/>
        <n v="43"/>
        <n v="44"/>
        <n v="47"/>
        <n v="46"/>
        <n v="45"/>
        <n v="48"/>
        <n v="49"/>
        <n v="50"/>
        <n v="51"/>
        <n v="52"/>
        <n v="53"/>
        <n v="55"/>
        <n v="54"/>
        <n v="56"/>
        <n v="57"/>
        <n v="59"/>
        <n v="58"/>
        <n v="61"/>
        <n v="60"/>
        <n v="65"/>
        <n v="64"/>
        <n v="63"/>
        <n v="62"/>
        <n v="66"/>
        <n v="68"/>
        <n v="67"/>
        <n v="69"/>
        <n v="71"/>
        <n v="70"/>
        <n v="73"/>
        <n v="72"/>
        <n v="74"/>
        <n v="78"/>
        <n v="77"/>
        <n v="76"/>
        <n v="75"/>
        <n v="79"/>
        <n v="80"/>
        <n v="82"/>
        <n v="81"/>
        <n v="83"/>
        <n v="84"/>
        <n v="86"/>
        <n v="85"/>
        <n v="88"/>
        <n v="87"/>
        <n v="89"/>
        <n v="90"/>
        <n v="91"/>
        <n v="93"/>
        <n v="92"/>
        <n v="96"/>
        <n v="95"/>
        <n v="94"/>
        <n v="97"/>
        <n v="99"/>
        <n v="98"/>
        <n v="100"/>
        <n v="102"/>
        <n v="101"/>
        <n v="105"/>
        <n v="104"/>
        <n v="103"/>
        <n v="106"/>
        <n v="107"/>
        <n v="108"/>
        <n v="109"/>
        <n v="113"/>
        <n v="112"/>
        <n v="111"/>
        <n v="110"/>
        <n v="115"/>
        <n v="114"/>
        <n v="116"/>
        <n v="118"/>
        <n v="117"/>
        <n v="120"/>
        <n v="119"/>
        <n v="121"/>
        <n v="122"/>
        <n v="123"/>
        <n v="127"/>
        <n v="126"/>
        <n v="125"/>
        <n v="124"/>
        <n v="129"/>
        <n v="128"/>
        <n v="130"/>
        <n v="131"/>
        <n v="132"/>
        <n v="133"/>
        <n v="135"/>
        <n v="134"/>
        <n v="136"/>
        <n v="137"/>
        <n v="140"/>
        <n v="139"/>
        <n v="138"/>
        <n v="142"/>
        <n v="141"/>
        <n v="143"/>
        <n v="145"/>
        <n v="144"/>
        <n v="146"/>
        <n v="147"/>
        <n v="148"/>
        <n v="149"/>
        <n v="150"/>
        <n v="151"/>
        <n v="153"/>
        <n v="152"/>
        <n v="154"/>
        <n v="155"/>
        <n v="156"/>
        <n v="157"/>
        <n v="158"/>
        <n v="160"/>
        <n v="159"/>
        <n v="161"/>
        <n v="162"/>
        <n v="166"/>
        <n v="165"/>
        <n v="164"/>
        <n v="163"/>
        <n v="167"/>
        <n v="168"/>
        <n v="169"/>
        <n v="170"/>
        <n v="171"/>
        <n v="172"/>
        <n v="173"/>
        <n v="174"/>
        <n v="175"/>
        <n v="176"/>
        <n v="177"/>
        <n v="179"/>
        <n v="178"/>
        <n v="180"/>
        <n v="182"/>
        <n v="181"/>
        <n v="184"/>
        <n v="183"/>
        <n v="185"/>
        <n v="186"/>
        <n v="187"/>
      </sharedItems>
    </cacheField>
    <cacheField name="user_id" numFmtId="0">
      <sharedItems containsSemiMixedTypes="0" containsString="0" containsNumber="1" containsInteger="1" minValue="0" maxValue="500" count="14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36"/>
        <n v="40"/>
        <n v="41"/>
        <n v="42"/>
        <n v="49"/>
        <n v="56"/>
        <n v="57"/>
        <n v="58"/>
        <n v="65"/>
        <n v="66"/>
        <n v="67"/>
        <n v="69"/>
        <n v="70"/>
        <n v="76"/>
        <n v="91"/>
        <n v="99"/>
        <n v="104"/>
        <n v="106"/>
        <n v="107"/>
        <n v="109"/>
        <n v="110"/>
        <n v="115"/>
        <n v="117"/>
        <n v="118"/>
        <n v="123"/>
        <n v="126"/>
        <n v="135"/>
        <n v="142"/>
        <n v="148"/>
        <n v="152"/>
        <n v="156"/>
        <n v="161"/>
        <n v="162"/>
        <n v="163"/>
        <n v="165"/>
        <n v="175"/>
        <n v="176"/>
        <n v="178"/>
        <n v="179"/>
        <n v="182"/>
        <n v="196"/>
        <n v="199"/>
        <n v="212"/>
        <n v="214"/>
        <n v="217"/>
        <n v="229"/>
        <n v="230"/>
        <n v="231"/>
        <n v="236"/>
        <n v="239"/>
        <n v="246"/>
        <n v="247"/>
        <n v="249"/>
        <n v="252"/>
        <n v="276"/>
        <n v="278"/>
        <n v="288"/>
        <n v="289"/>
        <n v="291"/>
        <n v="293"/>
        <n v="294"/>
        <n v="296"/>
        <n v="299"/>
        <n v="306"/>
        <n v="308"/>
        <n v="310"/>
        <n v="314"/>
        <n v="320"/>
        <n v="323"/>
        <n v="326"/>
        <n v="333"/>
        <n v="335"/>
        <n v="336"/>
        <n v="342"/>
        <n v="345"/>
        <n v="355"/>
        <n v="357"/>
        <n v="359"/>
        <n v="364"/>
        <n v="368"/>
        <n v="369"/>
        <n v="371"/>
        <n v="375"/>
        <n v="380"/>
        <n v="381"/>
        <n v="382"/>
        <n v="384"/>
        <n v="388"/>
        <n v="389"/>
        <n v="390"/>
        <n v="392"/>
        <n v="395"/>
        <n v="397"/>
        <n v="401"/>
        <n v="404"/>
        <n v="407"/>
        <n v="408"/>
        <n v="414"/>
        <n v="415"/>
        <n v="423"/>
        <n v="427"/>
        <n v="429"/>
        <n v="431"/>
        <n v="437"/>
        <n v="439"/>
        <n v="443"/>
        <n v="444"/>
        <n v="447"/>
        <n v="450"/>
        <n v="452"/>
        <n v="453"/>
        <n v="454"/>
        <n v="455"/>
        <n v="456"/>
        <n v="459"/>
        <n v="462"/>
        <n v="466"/>
        <n v="469"/>
        <n v="471"/>
        <n v="479"/>
        <n v="482"/>
        <n v="487"/>
        <n v="489"/>
        <n v="491"/>
        <n v="493"/>
        <n v="499"/>
        <n v="500"/>
      </sharedItems>
    </cacheField>
    <cacheField name="package_id" numFmtId="0">
      <sharedItems containsSemiMixedTypes="0" containsString="0" containsNumber="1" containsInteger="1" minValue="0" maxValue="3" count="3">
        <n v="1"/>
        <n v="2"/>
        <n v="3"/>
      </sharedItems>
    </cacheField>
    <cacheField name="attempted_at" numFmtId="22">
      <sharedItems containsSemiMixedTypes="0" containsString="0" containsNonDate="0" containsDate="1" minDate="2026-01-20T16:33:58" maxDate="2026-06-30T23:59:00" count="188">
        <d v="2026-06-30T23:59:00"/>
        <d v="2026-06-03T03:57:12"/>
        <d v="2026-06-19T16:07:42"/>
        <d v="2026-03-07T10:40:58"/>
        <d v="2026-04-16T15:28:18"/>
        <d v="2026-05-08T10:03:13"/>
        <d v="2026-06-19T08:08:24"/>
        <d v="2026-06-23T13:13:40"/>
        <d v="2026-05-02T12:14:17"/>
        <d v="2026-04-25T01:29:18"/>
        <d v="2026-04-24T21:00:22"/>
        <d v="2026-04-17T23:50:23"/>
        <d v="2026-05-03T15:29:29"/>
        <d v="2026-02-13T02:11:40"/>
        <d v="2026-05-27T05:02:24"/>
        <d v="2026-04-14T12:38:07"/>
        <d v="2026-03-05T12:13:43"/>
        <d v="2026-04-03T09:05:55"/>
        <d v="2026-03-23T05:27:37"/>
        <d v="2026-06-02T05:43:42"/>
        <d v="2026-05-09T00:57:12"/>
        <d v="2026-02-19T06:45:40"/>
        <d v="2026-03-11T17:00:37"/>
        <d v="2026-03-08T15:50:12"/>
        <d v="2026-05-12T16:51:57"/>
        <d v="2026-05-13T06:25:53"/>
        <d v="2026-05-11T18:24:38"/>
        <d v="2026-06-13T14:08:07"/>
        <d v="2026-06-09T18:47:48"/>
        <d v="2026-04-17T18:07:08"/>
        <d v="2026-05-28T05:17:22"/>
        <d v="2026-05-18T08:25:21"/>
        <d v="2026-06-11T20:21:08"/>
        <d v="2026-05-23T21:25:13"/>
        <d v="2026-04-09T18:00:04"/>
        <d v="2026-04-04T13:55:28"/>
        <d v="2026-03-19T04:55:22"/>
        <d v="2026-03-04T23:31:26"/>
        <d v="2026-05-28T11:44:19"/>
        <d v="2026-03-31T04:55:28"/>
        <d v="2026-06-01T17:09:35"/>
        <d v="2026-06-22T04:36:56"/>
        <d v="2026-06-15T12:42:56"/>
        <d v="2026-03-17T23:35:10"/>
        <d v="2026-05-20T03:43:44"/>
        <d v="2026-03-23T20:43:42"/>
        <d v="2026-03-18T12:04:52"/>
        <d v="2026-03-02T23:22:32"/>
        <d v="2026-06-02T16:10:44"/>
        <d v="2026-05-23T17:21:12"/>
        <d v="2026-06-24T00:17:47"/>
        <d v="2026-04-08T02:13:24"/>
        <d v="2026-06-13T09:09:19"/>
        <d v="2026-03-05T16:53:55"/>
        <d v="2026-06-22T19:20:57"/>
        <d v="2026-04-22T19:25:40"/>
        <d v="2026-05-05T19:02:31"/>
        <d v="2026-05-19T23:28:28"/>
        <d v="2026-06-15T08:52:40"/>
        <d v="2026-05-09T17:36:29"/>
        <d v="2026-06-09T02:00:16"/>
        <d v="2026-02-17T23:14:12"/>
        <d v="2026-06-19T23:51:28"/>
        <d v="2026-06-18T08:10:34"/>
        <d v="2026-06-10T03:27:38"/>
        <d v="2026-02-20T13:44:42"/>
        <d v="2026-05-10T12:10:24"/>
        <d v="2026-05-18T18:59:22"/>
        <d v="2026-05-01T02:27:40"/>
        <d v="2026-06-21T16:10:40"/>
        <d v="2026-06-17T12:32:15"/>
        <d v="2026-03-14T13:42:36"/>
        <d v="2026-06-25T09:05:17"/>
        <d v="2026-06-25T03:53:35"/>
        <d v="2026-03-06T19:28:26"/>
        <d v="2026-05-09T11:39:26"/>
        <d v="2026-05-09T10:25:07"/>
        <d v="2026-05-09T01:54:44"/>
        <d v="2026-04-30T21:10:22"/>
        <d v="2026-05-27T02:02:39"/>
        <d v="2026-03-31T10:42:17"/>
        <d v="2026-01-23T09:43:32"/>
        <d v="2026-01-21T23:53:46"/>
        <d v="2026-06-20T10:56:46"/>
        <d v="2026-05-27T21:23:38"/>
        <d v="2026-06-29T13:19:52"/>
        <d v="2026-06-14T20:14:04"/>
        <d v="2026-05-31T12:41:24"/>
        <d v="2026-03-25T04:42:04"/>
        <d v="2026-06-27T14:16:11"/>
        <d v="2026-03-22T13:12:30"/>
        <d v="2026-04-25T11:21:04"/>
        <d v="2026-06-03T06:30:09"/>
        <d v="2026-04-27T18:15:14"/>
        <d v="2026-04-04T15:01:23"/>
        <d v="2026-03-27T18:09:14"/>
        <d v="2026-03-23T11:01:20"/>
        <d v="2026-05-05T02:28:01"/>
        <d v="2026-05-13T16:01:00"/>
        <d v="2026-04-06T11:49:53"/>
        <d v="2026-04-22T21:34:08"/>
        <d v="2026-05-08T18:07:58"/>
        <d v="2026-04-28T08:03:13"/>
        <d v="2026-05-18T15:38:41"/>
        <d v="2026-05-12T12:44:30"/>
        <d v="2026-04-06T00:56:29"/>
        <d v="2026-05-13T23:21:57"/>
        <d v="2026-05-28T15:24:57"/>
        <d v="2026-03-19T20:26:51"/>
        <d v="2026-03-17T16:09:12"/>
        <d v="2026-06-28T03:55:03"/>
        <d v="2026-06-27T01:39:12"/>
        <d v="2026-06-26T23:01:35"/>
        <d v="2026-05-30T22:18:20"/>
        <d v="2026-05-23T20:01:22"/>
        <d v="2026-05-22T05:32:32"/>
        <d v="2026-05-17T04:57:50"/>
        <d v="2026-04-11T07:37:09"/>
        <d v="2026-04-08T10:05:13"/>
        <d v="2026-05-12T02:04:01"/>
        <d v="2026-05-08T11:19:30"/>
        <d v="2026-02-21T22:16:30"/>
        <d v="2026-03-20T12:27:24"/>
        <d v="2026-06-09T04:30:08"/>
        <d v="2026-05-13T21:58:41"/>
        <d v="2026-05-12T18:39:38"/>
        <d v="2026-03-03T07:23:57"/>
        <d v="2026-02-26T07:12:08"/>
        <d v="2026-06-18T19:22:59"/>
        <d v="2026-06-16T23:38:23"/>
        <d v="2026-05-08T22:33:26"/>
        <d v="2026-06-30T07:50:24"/>
        <d v="2026-02-12T01:36:09"/>
        <d v="2026-05-04T21:39:53"/>
        <d v="2026-01-30T15:45:52"/>
        <d v="2026-01-20T16:33:58"/>
        <d v="2026-04-23T23:36:57"/>
        <d v="2026-04-13T02:39:52"/>
        <d v="2026-06-28T20:59:59"/>
        <d v="2026-06-28T11:04:16"/>
        <d v="2026-05-25T22:26:16"/>
        <d v="2026-04-24T08:24:57"/>
        <d v="2026-03-26T05:36:04"/>
        <d v="2026-06-18T02:34:53"/>
        <d v="2026-06-27T04:51:54"/>
        <d v="2026-02-27T00:22:10"/>
        <d v="2026-06-28T06:10:44"/>
        <d v="2026-06-25T03:31:20"/>
        <d v="2026-05-15T04:11:28"/>
        <d v="2026-04-21T03:23:04"/>
        <d v="2026-03-19T15:17:52"/>
        <d v="2026-06-02T13:48:08"/>
        <d v="2026-03-12T14:07:10"/>
        <d v="2026-03-07T11:26:39"/>
        <d v="2026-05-31T02:08:19"/>
        <d v="2026-02-22T01:13:55"/>
        <d v="2026-04-15T02:57:31"/>
        <d v="2026-03-25T06:38:12"/>
        <d v="2026-04-11T06:18:21"/>
        <d v="2026-06-04T05:59:53"/>
        <d v="2026-03-11T13:13:13"/>
        <d v="2026-06-08T02:48:19"/>
        <d v="2026-05-30T04:08:40"/>
        <d v="2026-06-27T06:38:29"/>
        <d v="2026-06-26T19:47:00"/>
        <d v="2026-06-11T15:34:19"/>
        <d v="2026-05-13T08:14:55"/>
        <d v="2026-06-13T03:53:48"/>
        <d v="2026-05-07T06:48:31"/>
        <d v="2026-04-03T03:56:35"/>
        <d v="2026-04-24T16:38:10"/>
        <d v="2026-06-28T08:32:56"/>
        <d v="2026-06-16T12:25:30"/>
        <d v="2026-03-12T20:25:06"/>
        <d v="2026-06-26T09:30:41"/>
        <d v="2026-06-07T04:29:02"/>
        <d v="2026-04-21T13:38:08"/>
        <d v="2026-04-14T22:05:04"/>
        <d v="2026-05-16T00:36:01"/>
        <d v="2026-05-12T06:46:54"/>
        <d v="2026-06-20T08:57:12"/>
        <d v="2026-05-07T07:29:21"/>
        <d v="2026-05-04T06:38:45"/>
        <d v="2026-04-27T17:36:37"/>
        <d v="2026-04-26T21:17:49"/>
        <d v="2026-05-18T08:32:39"/>
        <d v="2026-06-20T10:54:04"/>
        <d v="2026-04-21T05:19:29"/>
      </sharedItems>
    </cacheField>
    <cacheField name="completed_at" numFmtId="0">
      <sharedItems containsString="0" containsBlank="1" containsNonDate="0" containsDate="1" minDate="2026-01-20T16:34:08" maxDate="2026-06-29T13:20:02" count="164">
        <m/>
        <d v="2026-06-03T03:57:22"/>
        <d v="2026-06-19T16:07:52"/>
        <d v="2026-03-07T10:41:08"/>
        <d v="2026-04-16T15:28:28"/>
        <d v="2026-05-08T10:03:23"/>
        <d v="2026-06-19T08:08:34"/>
        <d v="2026-06-23T13:13:50"/>
        <d v="2026-05-02T12:14:27"/>
        <d v="2026-04-25T01:29:28"/>
        <d v="2026-04-24T21:00:32"/>
        <d v="2026-04-17T23:50:33"/>
        <d v="2026-05-03T15:29:39"/>
        <d v="2026-02-13T02:11:50"/>
        <d v="2026-05-27T05:02:34"/>
        <d v="2026-04-14T12:38:17"/>
        <d v="2026-03-05T12:13:53"/>
        <d v="2026-04-03T09:06:05"/>
        <d v="2026-06-02T05:43:52"/>
        <d v="2026-05-09T00:57:22"/>
        <d v="2026-02-19T06:45:50"/>
        <d v="2026-03-11T17:00:47"/>
        <d v="2026-05-12T16:52:07"/>
        <d v="2026-05-13T06:26:03"/>
        <d v="2026-06-13T14:08:17"/>
        <d v="2026-04-17T18:07:18"/>
        <d v="2026-05-28T05:17:32"/>
        <d v="2026-06-11T20:21:18"/>
        <d v="2026-05-23T21:25:23"/>
        <d v="2026-04-09T18:00:14"/>
        <d v="2026-03-19T04:55:32"/>
        <d v="2026-05-28T11:44:29"/>
        <d v="2026-03-31T04:55:38"/>
        <d v="2026-06-01T17:09:45"/>
        <d v="2026-06-22T04:37:06"/>
        <d v="2026-06-15T12:43:06"/>
        <d v="2026-03-17T23:35:20"/>
        <d v="2026-05-20T03:43:54"/>
        <d v="2026-03-23T20:43:52"/>
        <d v="2026-06-02T16:10:54"/>
        <d v="2026-05-23T17:21:22"/>
        <d v="2026-06-24T00:17:57"/>
        <d v="2026-04-08T02:13:34"/>
        <d v="2026-06-13T09:09:29"/>
        <d v="2026-03-05T16:54:05"/>
        <d v="2026-06-22T19:21:07"/>
        <d v="2026-05-05T19:02:41"/>
        <d v="2026-05-19T23:28:38"/>
        <d v="2026-06-15T08:52:50"/>
        <d v="2026-05-09T17:36:39"/>
        <d v="2026-06-09T02:00:26"/>
        <d v="2026-02-17T23:14:22"/>
        <d v="2026-06-19T23:51:38"/>
        <d v="2026-06-10T03:27:48"/>
        <d v="2026-02-20T13:44:52"/>
        <d v="2026-05-10T12:10:34"/>
        <d v="2026-05-18T18:59:32"/>
        <d v="2026-05-01T02:27:50"/>
        <d v="2026-06-21T16:10:50"/>
        <d v="2026-06-17T12:32:25"/>
        <d v="2026-03-14T13:42:46"/>
        <d v="2026-06-25T09:05:27"/>
        <d v="2026-03-06T19:28:36"/>
        <d v="2026-05-09T11:39:36"/>
        <d v="2026-04-30T21:10:32"/>
        <d v="2026-05-27T02:02:49"/>
        <d v="2026-03-31T10:42:27"/>
        <d v="2026-01-23T09:43:42"/>
        <d v="2026-01-21T23:53:56"/>
        <d v="2026-06-20T10:56:56"/>
        <d v="2026-05-27T21:23:48"/>
        <d v="2026-06-29T13:20:02"/>
        <d v="2026-06-14T20:14:14"/>
        <d v="2026-05-31T12:41:34"/>
        <d v="2026-03-25T04:42:14"/>
        <d v="2026-06-27T14:16:21"/>
        <d v="2026-03-22T13:12:40"/>
        <d v="2026-04-25T11:21:14"/>
        <d v="2026-06-03T06:30:19"/>
        <d v="2026-04-27T18:15:24"/>
        <d v="2026-04-04T15:01:33"/>
        <d v="2026-03-27T18:09:24"/>
        <d v="2026-03-23T11:01:30"/>
        <d v="2026-05-05T02:28:11"/>
        <d v="2026-05-13T16:01:10"/>
        <d v="2026-04-06T11:50:03"/>
        <d v="2026-04-22T21:34:18"/>
        <d v="2026-05-08T18:08:08"/>
        <d v="2026-04-28T08:03:23"/>
        <d v="2026-05-18T15:38:51"/>
        <d v="2026-05-12T12:44:40"/>
        <d v="2026-04-06T00:56:39"/>
        <d v="2026-05-13T23:22:07"/>
        <d v="2026-05-28T15:25:07"/>
        <d v="2026-03-19T20:27:01"/>
        <d v="2026-03-17T16:09:22"/>
        <d v="2026-06-28T03:55:13"/>
        <d v="2026-05-30T22:18:30"/>
        <d v="2026-05-23T20:01:32"/>
        <d v="2026-05-22T05:32:42"/>
        <d v="2026-05-17T04:58:00"/>
        <d v="2026-04-11T07:37:19"/>
        <d v="2026-05-12T02:04:11"/>
        <d v="2026-02-21T22:16:40"/>
        <d v="2026-03-20T12:27:34"/>
        <d v="2026-06-09T04:30:18"/>
        <d v="2026-05-13T21:58:51"/>
        <d v="2026-05-12T18:39:48"/>
        <d v="2026-03-03T07:24:07"/>
        <d v="2026-02-26T07:12:18"/>
        <d v="2026-06-18T19:23:09"/>
        <d v="2026-05-08T22:33:36"/>
        <d v="2026-02-12T01:36:19"/>
        <d v="2026-05-04T21:40:03"/>
        <d v="2026-01-30T15:46:02"/>
        <d v="2026-01-20T16:34:08"/>
        <d v="2026-04-23T23:37:07"/>
        <d v="2026-04-13T02:40:02"/>
        <d v="2026-06-28T21:00:09"/>
        <d v="2026-06-28T11:04:26"/>
        <d v="2026-05-25T22:26:26"/>
        <d v="2026-04-24T08:25:07"/>
        <d v="2026-03-26T05:36:14"/>
        <d v="2026-06-18T02:35:03"/>
        <d v="2026-06-27T04:52:04"/>
        <d v="2026-02-27T00:22:20"/>
        <d v="2026-06-28T06:10:54"/>
        <d v="2026-06-25T03:31:30"/>
        <d v="2026-05-15T04:11:38"/>
        <d v="2026-04-21T03:23:14"/>
        <d v="2026-03-19T15:18:02"/>
        <d v="2026-06-02T13:48:18"/>
        <d v="2026-03-12T14:07:20"/>
        <d v="2026-05-31T02:08:29"/>
        <d v="2026-02-22T01:14:05"/>
        <d v="2026-04-15T02:57:41"/>
        <d v="2026-03-25T06:38:22"/>
        <d v="2026-04-11T06:18:31"/>
        <d v="2026-06-04T06:00:03"/>
        <d v="2026-03-11T13:13:23"/>
        <d v="2026-06-08T02:48:29"/>
        <d v="2026-05-30T04:08:50"/>
        <d v="2026-06-27T06:38:39"/>
        <d v="2026-06-26T19:47:10"/>
        <d v="2026-06-11T15:34:29"/>
        <d v="2026-05-13T08:15:05"/>
        <d v="2026-06-13T03:53:58"/>
        <d v="2026-05-07T06:48:41"/>
        <d v="2026-04-03T03:56:45"/>
        <d v="2026-04-24T16:38:20"/>
        <d v="2026-06-28T08:33:06"/>
        <d v="2026-06-16T12:25:40"/>
        <d v="2026-03-12T20:25:16"/>
        <d v="2026-06-26T09:30:51"/>
        <d v="2026-06-07T04:29:12"/>
        <d v="2026-04-21T13:38:18"/>
        <d v="2026-04-14T22:05:14"/>
        <d v="2026-05-16T00:36:11"/>
        <d v="2026-06-20T08:57:22"/>
        <d v="2026-05-07T07:29:31"/>
        <d v="2026-04-27T17:36:47"/>
        <d v="2026-05-18T08:32:49"/>
        <d v="2026-06-20T10:54:14"/>
        <d v="2026-04-21T05:19:39"/>
      </sharedItems>
    </cacheField>
    <cacheField name="status" numFmtId="0">
      <sharedItems count="3">
        <s v="pending"/>
        <s v="succeeded"/>
        <s v="failed"/>
      </sharedItems>
    </cacheField>
    <cacheField name="amount_usd" numFmtId="0">
      <sharedItems containsSemiMixedTypes="0" containsString="0" containsNumber="1" minValue="0" maxValue="19.99" count="6">
        <n v="4.99"/>
        <n v="9.99"/>
        <n v="7.99"/>
        <n v="19.99"/>
        <n v="15.99"/>
        <n v="3.99"/>
      </sharedItems>
    </cacheField>
    <cacheField name="coins_granted" numFmtId="0">
      <sharedItems containsSemiMixedTypes="0" containsString="0" containsNumber="1" containsInteger="1" minValue="0" maxValue="600" count="4">
        <n v="0"/>
        <n v="250"/>
        <n v="100"/>
        <n v="600"/>
      </sharedItems>
    </cacheField>
    <cacheField name="country_code" numFmtId="0">
      <sharedItems count="6">
        <s v="BR"/>
        <s v="US"/>
        <s v="CA"/>
        <s v="DE"/>
        <s v="GB"/>
        <s v="UA"/>
      </sharedItems>
    </cacheField>
    <cacheField name="device_type" numFmtId="0">
      <sharedItems count="3">
        <s v="desktop"/>
        <s v="tablet"/>
        <s v="mobile"/>
      </sharedItems>
    </cacheField>
    <cacheField name="Package_type (XLOOKUP)" numFmtId="0">
      <sharedItems count="3">
        <s v="Small"/>
        <s v="Medium"/>
        <s v="Large"/>
      </sharedItems>
    </cacheField>
    <cacheField name="Package_type_(INDEX+MATCH)" numFmtId="0">
      <sharedItems count="3">
        <s v="Small"/>
        <s v="Medium"/>
        <s v="Large"/>
      </sharedItems>
    </cacheField>
    <cacheField name="paid_usd" numFmtId="0">
      <sharedItems containsSemiMixedTypes="0" containsString="0" containsNumber="1" minValue="0" maxValue="19.99" count="7">
        <n v="0"/>
        <n v="9.99"/>
        <n v="4.99"/>
        <n v="7.99"/>
        <n v="19.99"/>
        <n v="15.99"/>
        <n v="3.99"/>
      </sharedItems>
    </cacheField>
    <cacheField name="is_us_mobile_or_tablet" numFmtId="0">
      <sharedItems count="2">
        <b v="0"/>
        <b v="1"/>
      </sharedItems>
    </cacheField>
    <cacheField name="has_refunded" numFmtId="0">
      <sharedItems count="2">
        <b v="0"/>
        <b v="1"/>
      </sharedItems>
    </cacheField>
    <cacheField name="refunded_sum" numFmtId="0">
      <sharedItems containsSemiMixedTypes="0" containsString="0" containsNumber="1" minValue="0" maxValue="19.99" count="4">
        <n v="0"/>
        <n v="9.99"/>
        <n v="19.99"/>
        <n v="4.99"/>
      </sharedItems>
    </cacheField>
    <cacheField name="month" numFmtId="0">
      <sharedItems count="7">
        <s v=""/>
        <s v="2026-06"/>
        <s v="2026-03"/>
        <s v="2026-04"/>
        <s v="2026-05"/>
        <s v="2026-02"/>
        <s v="2026-01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7.0028009259" refreshedBy="Емір" recordCount="14">
  <cacheSource type="worksheet">
    <worksheetSource ref="A1:H15" sheet="refunds"/>
  </cacheSource>
  <cacheFields count="8">
    <cacheField name="refund_id" numFmtId="0">
      <sharedItems containsSemiMixedTypes="0" containsString="0" containsNumber="1" containsInteger="1" minValue="0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payment_id" numFmtId="0">
      <sharedItems containsSemiMixedTypes="0" containsString="0" containsNumber="1" containsInteger="1" minValue="0" maxValue="165" count="14">
        <n v="9"/>
        <n v="63"/>
        <n v="75"/>
        <n v="81"/>
        <n v="94"/>
        <n v="95"/>
        <n v="101"/>
        <n v="104"/>
        <n v="114"/>
        <n v="124"/>
        <n v="126"/>
        <n v="134"/>
        <n v="139"/>
        <n v="165"/>
      </sharedItems>
    </cacheField>
    <cacheField name="refunded_at" numFmtId="22">
      <sharedItems containsSemiMixedTypes="0" containsString="0" containsNonDate="0" containsDate="1" minDate="2026-01-20T16:34:18" maxDate="2026-06-28T11:04:36" count="14">
        <d v="2026-04-24T21:00:42"/>
        <d v="2026-06-10T03:27:58"/>
        <d v="2026-04-30T21:10:42"/>
        <d v="2026-01-21T23:54:06"/>
        <d v="2026-03-23T11:01:40"/>
        <d v="2026-03-27T18:09:34"/>
        <d v="2026-04-28T08:03:33"/>
        <d v="2026-05-12T12:44:50"/>
        <d v="2026-05-22T05:32:52"/>
        <d v="2026-02-26T07:12:28"/>
        <d v="2026-05-12T18:39:58"/>
        <d v="2026-01-20T16:34:18"/>
        <d v="2026-06-28T11:04:36"/>
        <d v="2026-06-26T19:47:20"/>
      </sharedItems>
    </cacheField>
    <cacheField name="amount_usd" numFmtId="0">
      <sharedItems containsSemiMixedTypes="0" containsString="0" containsNumber="1" minValue="0" maxValue="19.99" count="3">
        <n v="9.99"/>
        <n v="19.99"/>
        <n v="4.99"/>
      </sharedItems>
    </cacheField>
    <cacheField name="coins_revoked" numFmtId="0">
      <sharedItems containsSemiMixedTypes="0" containsString="0" containsNumber="1" containsInteger="1" minValue="0" maxValue="600" count="3">
        <n v="250"/>
        <n v="600"/>
        <n v="100"/>
      </sharedItems>
    </cacheField>
    <cacheField name="reason" numFmtId="0">
      <sharedItems count="2">
        <s v="customer_request"/>
        <s v="accidental_purchase"/>
      </sharedItems>
    </cacheField>
    <cacheField name="user_id" numFmtId="0">
      <sharedItems containsSemiMixedTypes="0" containsString="0" containsNumber="1" containsInteger="1" minValue="0" maxValue="450" count="12">
        <n v="49"/>
        <n v="214"/>
        <n v="246"/>
        <n v="252"/>
        <n v="299"/>
        <n v="314"/>
        <n v="320"/>
        <n v="342"/>
        <n v="369"/>
        <n v="384"/>
        <n v="390"/>
        <n v="450"/>
      </sharedItems>
    </cacheField>
    <cacheField name="Month" numFmtId="0">
      <sharedItems count="6">
        <s v="2026-04"/>
        <s v="2026-06"/>
        <s v="2026-01"/>
        <s v="2026-03"/>
        <s v="2026-05"/>
        <s v="2026-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</r>
  <r>
    <x v="2"/>
    <x v="2"/>
    <x v="2"/>
    <x v="2"/>
    <x v="2"/>
    <x v="1"/>
    <x v="1"/>
    <x v="0"/>
    <x v="1"/>
    <x v="1"/>
  </r>
  <r>
    <x v="3"/>
    <x v="3"/>
    <x v="3"/>
    <x v="2"/>
    <x v="0"/>
    <x v="1"/>
    <x v="1"/>
    <x v="0"/>
    <x v="1"/>
    <x v="1"/>
  </r>
  <r>
    <x v="4"/>
    <x v="4"/>
    <x v="2"/>
    <x v="2"/>
    <x v="3"/>
    <x v="0"/>
    <x v="0"/>
    <x v="0"/>
    <x v="0"/>
    <x v="0"/>
  </r>
  <r>
    <x v="5"/>
    <x v="5"/>
    <x v="4"/>
    <x v="1"/>
    <x v="4"/>
    <x v="1"/>
    <x v="1"/>
    <x v="0"/>
    <x v="1"/>
    <x v="1"/>
  </r>
  <r>
    <x v="6"/>
    <x v="6"/>
    <x v="1"/>
    <x v="1"/>
    <x v="5"/>
    <x v="1"/>
    <x v="1"/>
    <x v="0"/>
    <x v="1"/>
    <x v="1"/>
  </r>
  <r>
    <x v="7"/>
    <x v="7"/>
    <x v="2"/>
    <x v="0"/>
    <x v="3"/>
    <x v="0"/>
    <x v="2"/>
    <x v="0"/>
    <x v="2"/>
    <x v="0"/>
  </r>
  <r>
    <x v="8"/>
    <x v="8"/>
    <x v="0"/>
    <x v="1"/>
    <x v="3"/>
    <x v="1"/>
    <x v="1"/>
    <x v="0"/>
    <x v="1"/>
    <x v="1"/>
  </r>
  <r>
    <x v="9"/>
    <x v="9"/>
    <x v="0"/>
    <x v="0"/>
    <x v="1"/>
    <x v="1"/>
    <x v="1"/>
    <x v="0"/>
    <x v="1"/>
    <x v="1"/>
  </r>
  <r>
    <x v="10"/>
    <x v="10"/>
    <x v="5"/>
    <x v="2"/>
    <x v="6"/>
    <x v="1"/>
    <x v="1"/>
    <x v="0"/>
    <x v="1"/>
    <x v="1"/>
  </r>
  <r>
    <x v="11"/>
    <x v="11"/>
    <x v="3"/>
    <x v="2"/>
    <x v="5"/>
    <x v="1"/>
    <x v="1"/>
    <x v="0"/>
    <x v="1"/>
    <x v="1"/>
  </r>
  <r>
    <x v="12"/>
    <x v="12"/>
    <x v="5"/>
    <x v="1"/>
    <x v="6"/>
    <x v="0"/>
    <x v="3"/>
    <x v="0"/>
    <x v="3"/>
    <x v="0"/>
  </r>
  <r>
    <x v="13"/>
    <x v="13"/>
    <x v="0"/>
    <x v="1"/>
    <x v="6"/>
    <x v="1"/>
    <x v="1"/>
    <x v="0"/>
    <x v="1"/>
    <x v="1"/>
  </r>
  <r>
    <x v="14"/>
    <x v="14"/>
    <x v="2"/>
    <x v="2"/>
    <x v="5"/>
    <x v="1"/>
    <x v="1"/>
    <x v="0"/>
    <x v="1"/>
    <x v="1"/>
  </r>
  <r>
    <x v="15"/>
    <x v="15"/>
    <x v="4"/>
    <x v="1"/>
    <x v="2"/>
    <x v="1"/>
    <x v="1"/>
    <x v="0"/>
    <x v="1"/>
    <x v="1"/>
  </r>
  <r>
    <x v="16"/>
    <x v="16"/>
    <x v="0"/>
    <x v="0"/>
    <x v="1"/>
    <x v="1"/>
    <x v="1"/>
    <x v="0"/>
    <x v="1"/>
    <x v="1"/>
  </r>
  <r>
    <x v="17"/>
    <x v="17"/>
    <x v="5"/>
    <x v="0"/>
    <x v="3"/>
    <x v="1"/>
    <x v="1"/>
    <x v="0"/>
    <x v="1"/>
    <x v="1"/>
  </r>
  <r>
    <x v="18"/>
    <x v="18"/>
    <x v="3"/>
    <x v="2"/>
    <x v="1"/>
    <x v="1"/>
    <x v="1"/>
    <x v="0"/>
    <x v="1"/>
    <x v="1"/>
  </r>
  <r>
    <x v="19"/>
    <x v="19"/>
    <x v="1"/>
    <x v="2"/>
    <x v="2"/>
    <x v="1"/>
    <x v="1"/>
    <x v="0"/>
    <x v="1"/>
    <x v="1"/>
  </r>
  <r>
    <x v="20"/>
    <x v="20"/>
    <x v="4"/>
    <x v="0"/>
    <x v="0"/>
    <x v="1"/>
    <x v="1"/>
    <x v="0"/>
    <x v="1"/>
    <x v="1"/>
  </r>
  <r>
    <x v="21"/>
    <x v="21"/>
    <x v="5"/>
    <x v="1"/>
    <x v="7"/>
    <x v="1"/>
    <x v="1"/>
    <x v="0"/>
    <x v="1"/>
    <x v="1"/>
  </r>
  <r>
    <x v="22"/>
    <x v="22"/>
    <x v="1"/>
    <x v="2"/>
    <x v="4"/>
    <x v="1"/>
    <x v="1"/>
    <x v="0"/>
    <x v="1"/>
    <x v="1"/>
  </r>
  <r>
    <x v="23"/>
    <x v="23"/>
    <x v="3"/>
    <x v="2"/>
    <x v="0"/>
    <x v="1"/>
    <x v="1"/>
    <x v="0"/>
    <x v="1"/>
    <x v="1"/>
  </r>
  <r>
    <x v="24"/>
    <x v="24"/>
    <x v="4"/>
    <x v="1"/>
    <x v="6"/>
    <x v="1"/>
    <x v="1"/>
    <x v="0"/>
    <x v="1"/>
    <x v="1"/>
  </r>
  <r>
    <x v="25"/>
    <x v="25"/>
    <x v="2"/>
    <x v="1"/>
    <x v="2"/>
    <x v="1"/>
    <x v="1"/>
    <x v="0"/>
    <x v="1"/>
    <x v="1"/>
  </r>
  <r>
    <x v="26"/>
    <x v="26"/>
    <x v="3"/>
    <x v="0"/>
    <x v="1"/>
    <x v="1"/>
    <x v="1"/>
    <x v="0"/>
    <x v="1"/>
    <x v="1"/>
  </r>
  <r>
    <x v="27"/>
    <x v="27"/>
    <x v="3"/>
    <x v="1"/>
    <x v="6"/>
    <x v="1"/>
    <x v="1"/>
    <x v="0"/>
    <x v="1"/>
    <x v="1"/>
  </r>
  <r>
    <x v="28"/>
    <x v="28"/>
    <x v="1"/>
    <x v="0"/>
    <x v="6"/>
    <x v="1"/>
    <x v="1"/>
    <x v="0"/>
    <x v="1"/>
    <x v="1"/>
  </r>
  <r>
    <x v="29"/>
    <x v="29"/>
    <x v="4"/>
    <x v="1"/>
    <x v="3"/>
    <x v="1"/>
    <x v="1"/>
    <x v="0"/>
    <x v="1"/>
    <x v="1"/>
  </r>
  <r>
    <x v="30"/>
    <x v="30"/>
    <x v="3"/>
    <x v="0"/>
    <x v="5"/>
    <x v="1"/>
    <x v="1"/>
    <x v="0"/>
    <x v="1"/>
    <x v="1"/>
  </r>
  <r>
    <x v="31"/>
    <x v="31"/>
    <x v="0"/>
    <x v="0"/>
    <x v="3"/>
    <x v="1"/>
    <x v="1"/>
    <x v="0"/>
    <x v="1"/>
    <x v="1"/>
  </r>
  <r>
    <x v="32"/>
    <x v="32"/>
    <x v="3"/>
    <x v="1"/>
    <x v="5"/>
    <x v="1"/>
    <x v="1"/>
    <x v="0"/>
    <x v="1"/>
    <x v="1"/>
  </r>
  <r>
    <x v="33"/>
    <x v="33"/>
    <x v="2"/>
    <x v="2"/>
    <x v="0"/>
    <x v="1"/>
    <x v="1"/>
    <x v="0"/>
    <x v="1"/>
    <x v="1"/>
  </r>
  <r>
    <x v="34"/>
    <x v="34"/>
    <x v="3"/>
    <x v="0"/>
    <x v="0"/>
    <x v="1"/>
    <x v="1"/>
    <x v="0"/>
    <x v="1"/>
    <x v="1"/>
  </r>
  <r>
    <x v="35"/>
    <x v="35"/>
    <x v="1"/>
    <x v="2"/>
    <x v="4"/>
    <x v="0"/>
    <x v="3"/>
    <x v="0"/>
    <x v="3"/>
    <x v="0"/>
  </r>
  <r>
    <x v="36"/>
    <x v="36"/>
    <x v="0"/>
    <x v="1"/>
    <x v="0"/>
    <x v="1"/>
    <x v="1"/>
    <x v="0"/>
    <x v="1"/>
    <x v="1"/>
  </r>
  <r>
    <x v="37"/>
    <x v="37"/>
    <x v="3"/>
    <x v="1"/>
    <x v="3"/>
    <x v="1"/>
    <x v="1"/>
    <x v="0"/>
    <x v="1"/>
    <x v="1"/>
  </r>
  <r>
    <x v="38"/>
    <x v="38"/>
    <x v="1"/>
    <x v="2"/>
    <x v="0"/>
    <x v="1"/>
    <x v="1"/>
    <x v="0"/>
    <x v="1"/>
    <x v="1"/>
  </r>
  <r>
    <x v="39"/>
    <x v="39"/>
    <x v="0"/>
    <x v="1"/>
    <x v="4"/>
    <x v="0"/>
    <x v="4"/>
    <x v="0"/>
    <x v="4"/>
    <x v="0"/>
  </r>
  <r>
    <x v="40"/>
    <x v="40"/>
    <x v="4"/>
    <x v="1"/>
    <x v="4"/>
    <x v="0"/>
    <x v="4"/>
    <x v="0"/>
    <x v="4"/>
    <x v="0"/>
  </r>
  <r>
    <x v="41"/>
    <x v="41"/>
    <x v="4"/>
    <x v="1"/>
    <x v="4"/>
    <x v="0"/>
    <x v="4"/>
    <x v="0"/>
    <x v="4"/>
    <x v="0"/>
  </r>
  <r>
    <x v="42"/>
    <x v="42"/>
    <x v="1"/>
    <x v="2"/>
    <x v="2"/>
    <x v="1"/>
    <x v="1"/>
    <x v="0"/>
    <x v="1"/>
    <x v="1"/>
  </r>
  <r>
    <x v="43"/>
    <x v="43"/>
    <x v="0"/>
    <x v="1"/>
    <x v="2"/>
    <x v="1"/>
    <x v="1"/>
    <x v="0"/>
    <x v="1"/>
    <x v="1"/>
  </r>
  <r>
    <x v="44"/>
    <x v="44"/>
    <x v="4"/>
    <x v="2"/>
    <x v="4"/>
    <x v="1"/>
    <x v="1"/>
    <x v="0"/>
    <x v="1"/>
    <x v="1"/>
  </r>
  <r>
    <x v="45"/>
    <x v="45"/>
    <x v="0"/>
    <x v="1"/>
    <x v="3"/>
    <x v="1"/>
    <x v="1"/>
    <x v="0"/>
    <x v="1"/>
    <x v="1"/>
  </r>
  <r>
    <x v="46"/>
    <x v="46"/>
    <x v="2"/>
    <x v="0"/>
    <x v="4"/>
    <x v="1"/>
    <x v="1"/>
    <x v="0"/>
    <x v="1"/>
    <x v="1"/>
  </r>
  <r>
    <x v="47"/>
    <x v="47"/>
    <x v="4"/>
    <x v="1"/>
    <x v="2"/>
    <x v="1"/>
    <x v="1"/>
    <x v="0"/>
    <x v="1"/>
    <x v="1"/>
  </r>
  <r>
    <x v="48"/>
    <x v="48"/>
    <x v="2"/>
    <x v="2"/>
    <x v="7"/>
    <x v="2"/>
    <x v="5"/>
    <x v="1"/>
    <x v="2"/>
    <x v="0"/>
  </r>
  <r>
    <x v="49"/>
    <x v="49"/>
    <x v="3"/>
    <x v="0"/>
    <x v="3"/>
    <x v="1"/>
    <x v="1"/>
    <x v="0"/>
    <x v="1"/>
    <x v="1"/>
  </r>
  <r>
    <x v="50"/>
    <x v="50"/>
    <x v="4"/>
    <x v="2"/>
    <x v="2"/>
    <x v="1"/>
    <x v="1"/>
    <x v="0"/>
    <x v="1"/>
    <x v="1"/>
  </r>
  <r>
    <x v="51"/>
    <x v="51"/>
    <x v="1"/>
    <x v="1"/>
    <x v="0"/>
    <x v="1"/>
    <x v="1"/>
    <x v="0"/>
    <x v="1"/>
    <x v="1"/>
  </r>
  <r>
    <x v="52"/>
    <x v="52"/>
    <x v="1"/>
    <x v="0"/>
    <x v="1"/>
    <x v="1"/>
    <x v="1"/>
    <x v="0"/>
    <x v="1"/>
    <x v="1"/>
  </r>
  <r>
    <x v="53"/>
    <x v="53"/>
    <x v="4"/>
    <x v="2"/>
    <x v="4"/>
    <x v="1"/>
    <x v="1"/>
    <x v="0"/>
    <x v="1"/>
    <x v="1"/>
  </r>
  <r>
    <x v="54"/>
    <x v="54"/>
    <x v="4"/>
    <x v="2"/>
    <x v="5"/>
    <x v="1"/>
    <x v="1"/>
    <x v="0"/>
    <x v="1"/>
    <x v="1"/>
  </r>
  <r>
    <x v="55"/>
    <x v="55"/>
    <x v="1"/>
    <x v="0"/>
    <x v="0"/>
    <x v="0"/>
    <x v="2"/>
    <x v="0"/>
    <x v="2"/>
    <x v="0"/>
  </r>
  <r>
    <x v="56"/>
    <x v="56"/>
    <x v="4"/>
    <x v="1"/>
    <x v="5"/>
    <x v="0"/>
    <x v="0"/>
    <x v="0"/>
    <x v="0"/>
    <x v="0"/>
  </r>
  <r>
    <x v="57"/>
    <x v="57"/>
    <x v="2"/>
    <x v="0"/>
    <x v="4"/>
    <x v="0"/>
    <x v="4"/>
    <x v="0"/>
    <x v="4"/>
    <x v="0"/>
  </r>
  <r>
    <x v="58"/>
    <x v="58"/>
    <x v="1"/>
    <x v="2"/>
    <x v="5"/>
    <x v="1"/>
    <x v="1"/>
    <x v="0"/>
    <x v="1"/>
    <x v="1"/>
  </r>
  <r>
    <x v="59"/>
    <x v="59"/>
    <x v="1"/>
    <x v="0"/>
    <x v="0"/>
    <x v="1"/>
    <x v="1"/>
    <x v="0"/>
    <x v="1"/>
    <x v="1"/>
  </r>
  <r>
    <x v="60"/>
    <x v="60"/>
    <x v="5"/>
    <x v="1"/>
    <x v="4"/>
    <x v="1"/>
    <x v="1"/>
    <x v="0"/>
    <x v="1"/>
    <x v="1"/>
  </r>
  <r>
    <x v="61"/>
    <x v="61"/>
    <x v="2"/>
    <x v="0"/>
    <x v="0"/>
    <x v="1"/>
    <x v="1"/>
    <x v="0"/>
    <x v="1"/>
    <x v="1"/>
  </r>
  <r>
    <x v="62"/>
    <x v="62"/>
    <x v="0"/>
    <x v="1"/>
    <x v="7"/>
    <x v="1"/>
    <x v="1"/>
    <x v="0"/>
    <x v="1"/>
    <x v="1"/>
  </r>
  <r>
    <x v="63"/>
    <x v="63"/>
    <x v="3"/>
    <x v="2"/>
    <x v="4"/>
    <x v="1"/>
    <x v="1"/>
    <x v="0"/>
    <x v="1"/>
    <x v="1"/>
  </r>
  <r>
    <x v="64"/>
    <x v="64"/>
    <x v="2"/>
    <x v="2"/>
    <x v="0"/>
    <x v="0"/>
    <x v="2"/>
    <x v="0"/>
    <x v="2"/>
    <x v="0"/>
  </r>
  <r>
    <x v="65"/>
    <x v="65"/>
    <x v="3"/>
    <x v="0"/>
    <x v="0"/>
    <x v="0"/>
    <x v="0"/>
    <x v="0"/>
    <x v="0"/>
    <x v="0"/>
  </r>
  <r>
    <x v="66"/>
    <x v="66"/>
    <x v="2"/>
    <x v="1"/>
    <x v="4"/>
    <x v="0"/>
    <x v="4"/>
    <x v="0"/>
    <x v="4"/>
    <x v="0"/>
  </r>
  <r>
    <x v="67"/>
    <x v="67"/>
    <x v="5"/>
    <x v="2"/>
    <x v="4"/>
    <x v="1"/>
    <x v="1"/>
    <x v="0"/>
    <x v="1"/>
    <x v="1"/>
  </r>
  <r>
    <x v="68"/>
    <x v="68"/>
    <x v="0"/>
    <x v="2"/>
    <x v="4"/>
    <x v="0"/>
    <x v="4"/>
    <x v="0"/>
    <x v="4"/>
    <x v="0"/>
  </r>
  <r>
    <x v="69"/>
    <x v="69"/>
    <x v="0"/>
    <x v="1"/>
    <x v="6"/>
    <x v="2"/>
    <x v="6"/>
    <x v="0"/>
    <x v="5"/>
    <x v="0"/>
  </r>
  <r>
    <x v="70"/>
    <x v="70"/>
    <x v="5"/>
    <x v="0"/>
    <x v="3"/>
    <x v="1"/>
    <x v="1"/>
    <x v="0"/>
    <x v="1"/>
    <x v="1"/>
  </r>
  <r>
    <x v="71"/>
    <x v="71"/>
    <x v="0"/>
    <x v="0"/>
    <x v="5"/>
    <x v="1"/>
    <x v="1"/>
    <x v="0"/>
    <x v="1"/>
    <x v="1"/>
  </r>
  <r>
    <x v="72"/>
    <x v="72"/>
    <x v="1"/>
    <x v="1"/>
    <x v="3"/>
    <x v="1"/>
    <x v="1"/>
    <x v="0"/>
    <x v="1"/>
    <x v="1"/>
  </r>
  <r>
    <x v="73"/>
    <x v="73"/>
    <x v="1"/>
    <x v="0"/>
    <x v="5"/>
    <x v="1"/>
    <x v="1"/>
    <x v="0"/>
    <x v="1"/>
    <x v="1"/>
  </r>
  <r>
    <x v="74"/>
    <x v="74"/>
    <x v="4"/>
    <x v="2"/>
    <x v="0"/>
    <x v="1"/>
    <x v="1"/>
    <x v="0"/>
    <x v="1"/>
    <x v="1"/>
  </r>
  <r>
    <x v="75"/>
    <x v="75"/>
    <x v="3"/>
    <x v="1"/>
    <x v="6"/>
    <x v="0"/>
    <x v="7"/>
    <x v="0"/>
    <x v="6"/>
    <x v="0"/>
  </r>
  <r>
    <x v="76"/>
    <x v="76"/>
    <x v="1"/>
    <x v="1"/>
    <x v="2"/>
    <x v="1"/>
    <x v="1"/>
    <x v="0"/>
    <x v="1"/>
    <x v="1"/>
  </r>
  <r>
    <x v="77"/>
    <x v="77"/>
    <x v="0"/>
    <x v="2"/>
    <x v="2"/>
    <x v="1"/>
    <x v="1"/>
    <x v="0"/>
    <x v="1"/>
    <x v="1"/>
  </r>
  <r>
    <x v="78"/>
    <x v="78"/>
    <x v="1"/>
    <x v="0"/>
    <x v="7"/>
    <x v="1"/>
    <x v="1"/>
    <x v="0"/>
    <x v="1"/>
    <x v="1"/>
  </r>
  <r>
    <x v="79"/>
    <x v="79"/>
    <x v="1"/>
    <x v="2"/>
    <x v="7"/>
    <x v="1"/>
    <x v="1"/>
    <x v="0"/>
    <x v="1"/>
    <x v="1"/>
  </r>
  <r>
    <x v="80"/>
    <x v="80"/>
    <x v="5"/>
    <x v="0"/>
    <x v="3"/>
    <x v="1"/>
    <x v="1"/>
    <x v="0"/>
    <x v="1"/>
    <x v="1"/>
  </r>
  <r>
    <x v="81"/>
    <x v="81"/>
    <x v="2"/>
    <x v="2"/>
    <x v="5"/>
    <x v="1"/>
    <x v="1"/>
    <x v="0"/>
    <x v="1"/>
    <x v="1"/>
  </r>
  <r>
    <x v="82"/>
    <x v="82"/>
    <x v="2"/>
    <x v="0"/>
    <x v="5"/>
    <x v="1"/>
    <x v="1"/>
    <x v="0"/>
    <x v="1"/>
    <x v="1"/>
  </r>
  <r>
    <x v="83"/>
    <x v="83"/>
    <x v="0"/>
    <x v="1"/>
    <x v="3"/>
    <x v="1"/>
    <x v="1"/>
    <x v="0"/>
    <x v="1"/>
    <x v="1"/>
  </r>
  <r>
    <x v="84"/>
    <x v="84"/>
    <x v="2"/>
    <x v="1"/>
    <x v="4"/>
    <x v="1"/>
    <x v="1"/>
    <x v="0"/>
    <x v="1"/>
    <x v="1"/>
  </r>
  <r>
    <x v="85"/>
    <x v="85"/>
    <x v="0"/>
    <x v="2"/>
    <x v="5"/>
    <x v="1"/>
    <x v="1"/>
    <x v="0"/>
    <x v="1"/>
    <x v="1"/>
  </r>
  <r>
    <x v="86"/>
    <x v="86"/>
    <x v="5"/>
    <x v="2"/>
    <x v="5"/>
    <x v="1"/>
    <x v="1"/>
    <x v="0"/>
    <x v="1"/>
    <x v="1"/>
  </r>
  <r>
    <x v="87"/>
    <x v="87"/>
    <x v="2"/>
    <x v="1"/>
    <x v="6"/>
    <x v="1"/>
    <x v="1"/>
    <x v="0"/>
    <x v="1"/>
    <x v="1"/>
  </r>
  <r>
    <x v="88"/>
    <x v="88"/>
    <x v="4"/>
    <x v="0"/>
    <x v="5"/>
    <x v="1"/>
    <x v="1"/>
    <x v="0"/>
    <x v="1"/>
    <x v="1"/>
  </r>
  <r>
    <x v="89"/>
    <x v="89"/>
    <x v="2"/>
    <x v="2"/>
    <x v="6"/>
    <x v="1"/>
    <x v="1"/>
    <x v="0"/>
    <x v="1"/>
    <x v="1"/>
  </r>
  <r>
    <x v="90"/>
    <x v="90"/>
    <x v="4"/>
    <x v="2"/>
    <x v="3"/>
    <x v="0"/>
    <x v="0"/>
    <x v="0"/>
    <x v="0"/>
    <x v="0"/>
  </r>
  <r>
    <x v="91"/>
    <x v="91"/>
    <x v="2"/>
    <x v="0"/>
    <x v="6"/>
    <x v="1"/>
    <x v="1"/>
    <x v="0"/>
    <x v="1"/>
    <x v="1"/>
  </r>
  <r>
    <x v="92"/>
    <x v="92"/>
    <x v="1"/>
    <x v="1"/>
    <x v="6"/>
    <x v="1"/>
    <x v="1"/>
    <x v="0"/>
    <x v="1"/>
    <x v="1"/>
  </r>
  <r>
    <x v="93"/>
    <x v="93"/>
    <x v="3"/>
    <x v="0"/>
    <x v="7"/>
    <x v="1"/>
    <x v="1"/>
    <x v="0"/>
    <x v="1"/>
    <x v="1"/>
  </r>
  <r>
    <x v="94"/>
    <x v="94"/>
    <x v="1"/>
    <x v="0"/>
    <x v="3"/>
    <x v="1"/>
    <x v="1"/>
    <x v="0"/>
    <x v="1"/>
    <x v="1"/>
  </r>
  <r>
    <x v="95"/>
    <x v="95"/>
    <x v="3"/>
    <x v="1"/>
    <x v="3"/>
    <x v="1"/>
    <x v="1"/>
    <x v="0"/>
    <x v="1"/>
    <x v="1"/>
  </r>
  <r>
    <x v="96"/>
    <x v="96"/>
    <x v="0"/>
    <x v="2"/>
    <x v="4"/>
    <x v="1"/>
    <x v="1"/>
    <x v="0"/>
    <x v="1"/>
    <x v="1"/>
  </r>
  <r>
    <x v="97"/>
    <x v="97"/>
    <x v="3"/>
    <x v="0"/>
    <x v="1"/>
    <x v="1"/>
    <x v="1"/>
    <x v="0"/>
    <x v="1"/>
    <x v="1"/>
  </r>
  <r>
    <x v="98"/>
    <x v="98"/>
    <x v="3"/>
    <x v="1"/>
    <x v="1"/>
    <x v="0"/>
    <x v="0"/>
    <x v="0"/>
    <x v="0"/>
    <x v="0"/>
  </r>
  <r>
    <x v="99"/>
    <x v="99"/>
    <x v="1"/>
    <x v="1"/>
    <x v="1"/>
    <x v="1"/>
    <x v="1"/>
    <x v="0"/>
    <x v="1"/>
    <x v="1"/>
  </r>
  <r>
    <x v="100"/>
    <x v="100"/>
    <x v="3"/>
    <x v="2"/>
    <x v="5"/>
    <x v="1"/>
    <x v="1"/>
    <x v="0"/>
    <x v="1"/>
    <x v="1"/>
  </r>
  <r>
    <x v="101"/>
    <x v="101"/>
    <x v="1"/>
    <x v="1"/>
    <x v="4"/>
    <x v="1"/>
    <x v="1"/>
    <x v="0"/>
    <x v="1"/>
    <x v="1"/>
  </r>
  <r>
    <x v="102"/>
    <x v="102"/>
    <x v="0"/>
    <x v="2"/>
    <x v="5"/>
    <x v="1"/>
    <x v="1"/>
    <x v="0"/>
    <x v="1"/>
    <x v="1"/>
  </r>
  <r>
    <x v="103"/>
    <x v="103"/>
    <x v="0"/>
    <x v="0"/>
    <x v="4"/>
    <x v="0"/>
    <x v="4"/>
    <x v="0"/>
    <x v="4"/>
    <x v="0"/>
  </r>
  <r>
    <x v="104"/>
    <x v="104"/>
    <x v="2"/>
    <x v="1"/>
    <x v="1"/>
    <x v="1"/>
    <x v="1"/>
    <x v="0"/>
    <x v="1"/>
    <x v="1"/>
  </r>
  <r>
    <x v="105"/>
    <x v="105"/>
    <x v="4"/>
    <x v="2"/>
    <x v="2"/>
    <x v="0"/>
    <x v="0"/>
    <x v="0"/>
    <x v="0"/>
    <x v="0"/>
  </r>
  <r>
    <x v="106"/>
    <x v="106"/>
    <x v="5"/>
    <x v="1"/>
    <x v="2"/>
    <x v="0"/>
    <x v="4"/>
    <x v="0"/>
    <x v="4"/>
    <x v="0"/>
  </r>
  <r>
    <x v="107"/>
    <x v="107"/>
    <x v="0"/>
    <x v="1"/>
    <x v="7"/>
    <x v="1"/>
    <x v="1"/>
    <x v="0"/>
    <x v="1"/>
    <x v="1"/>
  </r>
  <r>
    <x v="108"/>
    <x v="108"/>
    <x v="0"/>
    <x v="0"/>
    <x v="5"/>
    <x v="0"/>
    <x v="2"/>
    <x v="0"/>
    <x v="2"/>
    <x v="0"/>
  </r>
  <r>
    <x v="109"/>
    <x v="109"/>
    <x v="5"/>
    <x v="0"/>
    <x v="1"/>
    <x v="0"/>
    <x v="3"/>
    <x v="0"/>
    <x v="3"/>
    <x v="0"/>
  </r>
  <r>
    <x v="110"/>
    <x v="110"/>
    <x v="4"/>
    <x v="2"/>
    <x v="1"/>
    <x v="1"/>
    <x v="1"/>
    <x v="0"/>
    <x v="1"/>
    <x v="1"/>
  </r>
  <r>
    <x v="111"/>
    <x v="111"/>
    <x v="3"/>
    <x v="2"/>
    <x v="1"/>
    <x v="1"/>
    <x v="1"/>
    <x v="0"/>
    <x v="1"/>
    <x v="1"/>
  </r>
  <r>
    <x v="112"/>
    <x v="112"/>
    <x v="1"/>
    <x v="2"/>
    <x v="7"/>
    <x v="1"/>
    <x v="1"/>
    <x v="0"/>
    <x v="1"/>
    <x v="1"/>
  </r>
  <r>
    <x v="113"/>
    <x v="113"/>
    <x v="0"/>
    <x v="1"/>
    <x v="7"/>
    <x v="1"/>
    <x v="1"/>
    <x v="0"/>
    <x v="1"/>
    <x v="1"/>
  </r>
  <r>
    <x v="114"/>
    <x v="114"/>
    <x v="3"/>
    <x v="1"/>
    <x v="0"/>
    <x v="0"/>
    <x v="0"/>
    <x v="0"/>
    <x v="0"/>
    <x v="0"/>
  </r>
  <r>
    <x v="115"/>
    <x v="115"/>
    <x v="1"/>
    <x v="2"/>
    <x v="3"/>
    <x v="1"/>
    <x v="1"/>
    <x v="0"/>
    <x v="1"/>
    <x v="1"/>
  </r>
  <r>
    <x v="116"/>
    <x v="116"/>
    <x v="0"/>
    <x v="0"/>
    <x v="4"/>
    <x v="0"/>
    <x v="0"/>
    <x v="0"/>
    <x v="0"/>
    <x v="0"/>
  </r>
  <r>
    <x v="117"/>
    <x v="117"/>
    <x v="1"/>
    <x v="2"/>
    <x v="5"/>
    <x v="0"/>
    <x v="0"/>
    <x v="0"/>
    <x v="0"/>
    <x v="0"/>
  </r>
  <r>
    <x v="118"/>
    <x v="118"/>
    <x v="5"/>
    <x v="2"/>
    <x v="4"/>
    <x v="1"/>
    <x v="1"/>
    <x v="0"/>
    <x v="1"/>
    <x v="1"/>
  </r>
  <r>
    <x v="119"/>
    <x v="119"/>
    <x v="4"/>
    <x v="1"/>
    <x v="3"/>
    <x v="1"/>
    <x v="1"/>
    <x v="0"/>
    <x v="1"/>
    <x v="1"/>
  </r>
  <r>
    <x v="120"/>
    <x v="120"/>
    <x v="3"/>
    <x v="1"/>
    <x v="6"/>
    <x v="1"/>
    <x v="1"/>
    <x v="0"/>
    <x v="1"/>
    <x v="1"/>
  </r>
  <r>
    <x v="121"/>
    <x v="121"/>
    <x v="1"/>
    <x v="2"/>
    <x v="3"/>
    <x v="1"/>
    <x v="1"/>
    <x v="0"/>
    <x v="1"/>
    <x v="1"/>
  </r>
  <r>
    <x v="122"/>
    <x v="122"/>
    <x v="5"/>
    <x v="2"/>
    <x v="0"/>
    <x v="0"/>
    <x v="8"/>
    <x v="0"/>
    <x v="7"/>
    <x v="0"/>
  </r>
  <r>
    <x v="123"/>
    <x v="123"/>
    <x v="1"/>
    <x v="2"/>
    <x v="5"/>
    <x v="1"/>
    <x v="1"/>
    <x v="0"/>
    <x v="1"/>
    <x v="1"/>
  </r>
  <r>
    <x v="124"/>
    <x v="124"/>
    <x v="3"/>
    <x v="2"/>
    <x v="2"/>
    <x v="1"/>
    <x v="1"/>
    <x v="0"/>
    <x v="1"/>
    <x v="1"/>
  </r>
  <r>
    <x v="125"/>
    <x v="125"/>
    <x v="0"/>
    <x v="0"/>
    <x v="5"/>
    <x v="0"/>
    <x v="4"/>
    <x v="0"/>
    <x v="4"/>
    <x v="0"/>
  </r>
  <r>
    <x v="126"/>
    <x v="126"/>
    <x v="2"/>
    <x v="0"/>
    <x v="0"/>
    <x v="1"/>
    <x v="1"/>
    <x v="0"/>
    <x v="1"/>
    <x v="1"/>
  </r>
  <r>
    <x v="127"/>
    <x v="127"/>
    <x v="5"/>
    <x v="2"/>
    <x v="0"/>
    <x v="1"/>
    <x v="1"/>
    <x v="0"/>
    <x v="1"/>
    <x v="1"/>
  </r>
  <r>
    <x v="128"/>
    <x v="128"/>
    <x v="3"/>
    <x v="2"/>
    <x v="7"/>
    <x v="1"/>
    <x v="1"/>
    <x v="0"/>
    <x v="1"/>
    <x v="1"/>
  </r>
  <r>
    <x v="129"/>
    <x v="129"/>
    <x v="4"/>
    <x v="1"/>
    <x v="2"/>
    <x v="1"/>
    <x v="1"/>
    <x v="0"/>
    <x v="1"/>
    <x v="1"/>
  </r>
  <r>
    <x v="130"/>
    <x v="130"/>
    <x v="0"/>
    <x v="0"/>
    <x v="1"/>
    <x v="1"/>
    <x v="1"/>
    <x v="0"/>
    <x v="1"/>
    <x v="1"/>
  </r>
  <r>
    <x v="131"/>
    <x v="131"/>
    <x v="1"/>
    <x v="0"/>
    <x v="7"/>
    <x v="1"/>
    <x v="1"/>
    <x v="0"/>
    <x v="1"/>
    <x v="1"/>
  </r>
  <r>
    <x v="132"/>
    <x v="132"/>
    <x v="2"/>
    <x v="1"/>
    <x v="1"/>
    <x v="1"/>
    <x v="1"/>
    <x v="0"/>
    <x v="1"/>
    <x v="1"/>
  </r>
  <r>
    <x v="133"/>
    <x v="133"/>
    <x v="4"/>
    <x v="2"/>
    <x v="3"/>
    <x v="1"/>
    <x v="1"/>
    <x v="0"/>
    <x v="1"/>
    <x v="1"/>
  </r>
  <r>
    <x v="134"/>
    <x v="134"/>
    <x v="4"/>
    <x v="1"/>
    <x v="4"/>
    <x v="0"/>
    <x v="4"/>
    <x v="0"/>
    <x v="4"/>
    <x v="0"/>
  </r>
  <r>
    <x v="135"/>
    <x v="135"/>
    <x v="1"/>
    <x v="2"/>
    <x v="3"/>
    <x v="1"/>
    <x v="1"/>
    <x v="0"/>
    <x v="1"/>
    <x v="1"/>
  </r>
  <r>
    <x v="136"/>
    <x v="136"/>
    <x v="1"/>
    <x v="1"/>
    <x v="4"/>
    <x v="1"/>
    <x v="1"/>
    <x v="0"/>
    <x v="1"/>
    <x v="1"/>
  </r>
  <r>
    <x v="137"/>
    <x v="137"/>
    <x v="3"/>
    <x v="2"/>
    <x v="3"/>
    <x v="1"/>
    <x v="1"/>
    <x v="0"/>
    <x v="1"/>
    <x v="1"/>
  </r>
  <r>
    <x v="138"/>
    <x v="138"/>
    <x v="2"/>
    <x v="1"/>
    <x v="2"/>
    <x v="1"/>
    <x v="1"/>
    <x v="0"/>
    <x v="1"/>
    <x v="1"/>
  </r>
  <r>
    <x v="139"/>
    <x v="139"/>
    <x v="2"/>
    <x v="1"/>
    <x v="7"/>
    <x v="1"/>
    <x v="1"/>
    <x v="0"/>
    <x v="1"/>
    <x v="1"/>
  </r>
  <r>
    <x v="140"/>
    <x v="140"/>
    <x v="4"/>
    <x v="0"/>
    <x v="6"/>
    <x v="1"/>
    <x v="1"/>
    <x v="0"/>
    <x v="1"/>
    <x v="1"/>
  </r>
  <r>
    <x v="141"/>
    <x v="141"/>
    <x v="1"/>
    <x v="2"/>
    <x v="5"/>
    <x v="0"/>
    <x v="4"/>
    <x v="0"/>
    <x v="4"/>
    <x v="0"/>
  </r>
  <r>
    <x v="142"/>
    <x v="142"/>
    <x v="2"/>
    <x v="0"/>
    <x v="1"/>
    <x v="1"/>
    <x v="1"/>
    <x v="0"/>
    <x v="1"/>
    <x v="1"/>
  </r>
  <r>
    <x v="143"/>
    <x v="143"/>
    <x v="2"/>
    <x v="1"/>
    <x v="5"/>
    <x v="1"/>
    <x v="1"/>
    <x v="0"/>
    <x v="1"/>
    <x v="1"/>
  </r>
  <r>
    <x v="144"/>
    <x v="144"/>
    <x v="5"/>
    <x v="2"/>
    <x v="0"/>
    <x v="1"/>
    <x v="1"/>
    <x v="0"/>
    <x v="1"/>
    <x v="1"/>
  </r>
  <r>
    <x v="145"/>
    <x v="145"/>
    <x v="3"/>
    <x v="1"/>
    <x v="6"/>
    <x v="1"/>
    <x v="1"/>
    <x v="0"/>
    <x v="1"/>
    <x v="1"/>
  </r>
  <r>
    <x v="146"/>
    <x v="146"/>
    <x v="4"/>
    <x v="0"/>
    <x v="5"/>
    <x v="1"/>
    <x v="1"/>
    <x v="0"/>
    <x v="1"/>
    <x v="1"/>
  </r>
  <r>
    <x v="147"/>
    <x v="147"/>
    <x v="3"/>
    <x v="2"/>
    <x v="2"/>
    <x v="0"/>
    <x v="0"/>
    <x v="0"/>
    <x v="0"/>
    <x v="0"/>
  </r>
  <r>
    <x v="148"/>
    <x v="148"/>
    <x v="4"/>
    <x v="2"/>
    <x v="2"/>
    <x v="1"/>
    <x v="1"/>
    <x v="0"/>
    <x v="1"/>
    <x v="1"/>
  </r>
  <r>
    <x v="149"/>
    <x v="149"/>
    <x v="0"/>
    <x v="1"/>
    <x v="0"/>
    <x v="1"/>
    <x v="1"/>
    <x v="0"/>
    <x v="1"/>
    <x v="1"/>
  </r>
  <r>
    <x v="150"/>
    <x v="150"/>
    <x v="2"/>
    <x v="0"/>
    <x v="0"/>
    <x v="1"/>
    <x v="1"/>
    <x v="0"/>
    <x v="1"/>
    <x v="1"/>
  </r>
  <r>
    <x v="151"/>
    <x v="151"/>
    <x v="5"/>
    <x v="2"/>
    <x v="5"/>
    <x v="0"/>
    <x v="0"/>
    <x v="0"/>
    <x v="0"/>
    <x v="0"/>
  </r>
  <r>
    <x v="152"/>
    <x v="152"/>
    <x v="1"/>
    <x v="0"/>
    <x v="4"/>
    <x v="1"/>
    <x v="1"/>
    <x v="0"/>
    <x v="1"/>
    <x v="1"/>
  </r>
  <r>
    <x v="153"/>
    <x v="153"/>
    <x v="0"/>
    <x v="1"/>
    <x v="5"/>
    <x v="1"/>
    <x v="1"/>
    <x v="0"/>
    <x v="1"/>
    <x v="1"/>
  </r>
  <r>
    <x v="154"/>
    <x v="154"/>
    <x v="0"/>
    <x v="0"/>
    <x v="5"/>
    <x v="1"/>
    <x v="1"/>
    <x v="0"/>
    <x v="1"/>
    <x v="1"/>
  </r>
  <r>
    <x v="155"/>
    <x v="155"/>
    <x v="4"/>
    <x v="0"/>
    <x v="4"/>
    <x v="0"/>
    <x v="0"/>
    <x v="0"/>
    <x v="0"/>
    <x v="0"/>
  </r>
  <r>
    <x v="156"/>
    <x v="156"/>
    <x v="4"/>
    <x v="0"/>
    <x v="7"/>
    <x v="1"/>
    <x v="1"/>
    <x v="0"/>
    <x v="1"/>
    <x v="1"/>
  </r>
  <r>
    <x v="157"/>
    <x v="157"/>
    <x v="2"/>
    <x v="1"/>
    <x v="2"/>
    <x v="1"/>
    <x v="1"/>
    <x v="0"/>
    <x v="1"/>
    <x v="1"/>
  </r>
  <r>
    <x v="158"/>
    <x v="158"/>
    <x v="1"/>
    <x v="0"/>
    <x v="2"/>
    <x v="1"/>
    <x v="1"/>
    <x v="0"/>
    <x v="1"/>
    <x v="1"/>
  </r>
  <r>
    <x v="159"/>
    <x v="159"/>
    <x v="2"/>
    <x v="2"/>
    <x v="7"/>
    <x v="1"/>
    <x v="1"/>
    <x v="0"/>
    <x v="1"/>
    <x v="1"/>
  </r>
  <r>
    <x v="160"/>
    <x v="160"/>
    <x v="1"/>
    <x v="2"/>
    <x v="2"/>
    <x v="0"/>
    <x v="0"/>
    <x v="0"/>
    <x v="0"/>
    <x v="0"/>
  </r>
  <r>
    <x v="161"/>
    <x v="161"/>
    <x v="1"/>
    <x v="2"/>
    <x v="5"/>
    <x v="0"/>
    <x v="4"/>
    <x v="0"/>
    <x v="4"/>
    <x v="0"/>
  </r>
  <r>
    <x v="162"/>
    <x v="162"/>
    <x v="0"/>
    <x v="0"/>
    <x v="6"/>
    <x v="0"/>
    <x v="4"/>
    <x v="0"/>
    <x v="4"/>
    <x v="0"/>
  </r>
  <r>
    <x v="163"/>
    <x v="163"/>
    <x v="4"/>
    <x v="2"/>
    <x v="7"/>
    <x v="1"/>
    <x v="1"/>
    <x v="0"/>
    <x v="1"/>
    <x v="1"/>
  </r>
  <r>
    <x v="164"/>
    <x v="164"/>
    <x v="1"/>
    <x v="1"/>
    <x v="7"/>
    <x v="0"/>
    <x v="0"/>
    <x v="0"/>
    <x v="0"/>
    <x v="0"/>
  </r>
  <r>
    <x v="165"/>
    <x v="165"/>
    <x v="0"/>
    <x v="1"/>
    <x v="2"/>
    <x v="1"/>
    <x v="1"/>
    <x v="0"/>
    <x v="1"/>
    <x v="1"/>
  </r>
  <r>
    <x v="166"/>
    <x v="166"/>
    <x v="4"/>
    <x v="0"/>
    <x v="2"/>
    <x v="1"/>
    <x v="1"/>
    <x v="0"/>
    <x v="1"/>
    <x v="1"/>
  </r>
  <r>
    <x v="167"/>
    <x v="167"/>
    <x v="5"/>
    <x v="2"/>
    <x v="1"/>
    <x v="1"/>
    <x v="1"/>
    <x v="0"/>
    <x v="1"/>
    <x v="1"/>
  </r>
  <r>
    <x v="168"/>
    <x v="168"/>
    <x v="3"/>
    <x v="2"/>
    <x v="3"/>
    <x v="1"/>
    <x v="1"/>
    <x v="0"/>
    <x v="1"/>
    <x v="1"/>
  </r>
  <r>
    <x v="169"/>
    <x v="169"/>
    <x v="3"/>
    <x v="2"/>
    <x v="3"/>
    <x v="1"/>
    <x v="1"/>
    <x v="0"/>
    <x v="1"/>
    <x v="1"/>
  </r>
  <r>
    <x v="170"/>
    <x v="170"/>
    <x v="1"/>
    <x v="0"/>
    <x v="6"/>
    <x v="1"/>
    <x v="1"/>
    <x v="0"/>
    <x v="1"/>
    <x v="1"/>
  </r>
  <r>
    <x v="171"/>
    <x v="171"/>
    <x v="3"/>
    <x v="1"/>
    <x v="0"/>
    <x v="1"/>
    <x v="1"/>
    <x v="0"/>
    <x v="1"/>
    <x v="1"/>
  </r>
  <r>
    <x v="172"/>
    <x v="172"/>
    <x v="2"/>
    <x v="1"/>
    <x v="3"/>
    <x v="1"/>
    <x v="1"/>
    <x v="0"/>
    <x v="1"/>
    <x v="1"/>
  </r>
  <r>
    <x v="173"/>
    <x v="173"/>
    <x v="0"/>
    <x v="2"/>
    <x v="2"/>
    <x v="1"/>
    <x v="1"/>
    <x v="0"/>
    <x v="1"/>
    <x v="1"/>
  </r>
  <r>
    <x v="174"/>
    <x v="174"/>
    <x v="3"/>
    <x v="1"/>
    <x v="5"/>
    <x v="0"/>
    <x v="4"/>
    <x v="0"/>
    <x v="4"/>
    <x v="0"/>
  </r>
  <r>
    <x v="175"/>
    <x v="175"/>
    <x v="0"/>
    <x v="0"/>
    <x v="5"/>
    <x v="0"/>
    <x v="4"/>
    <x v="0"/>
    <x v="4"/>
    <x v="0"/>
  </r>
  <r>
    <x v="176"/>
    <x v="176"/>
    <x v="1"/>
    <x v="2"/>
    <x v="2"/>
    <x v="1"/>
    <x v="1"/>
    <x v="0"/>
    <x v="1"/>
    <x v="1"/>
  </r>
  <r>
    <x v="177"/>
    <x v="177"/>
    <x v="4"/>
    <x v="1"/>
    <x v="5"/>
    <x v="0"/>
    <x v="2"/>
    <x v="0"/>
    <x v="2"/>
    <x v="0"/>
  </r>
  <r>
    <x v="178"/>
    <x v="178"/>
    <x v="3"/>
    <x v="1"/>
    <x v="5"/>
    <x v="0"/>
    <x v="4"/>
    <x v="0"/>
    <x v="4"/>
    <x v="0"/>
  </r>
  <r>
    <x v="179"/>
    <x v="179"/>
    <x v="2"/>
    <x v="1"/>
    <x v="5"/>
    <x v="1"/>
    <x v="1"/>
    <x v="0"/>
    <x v="1"/>
    <x v="1"/>
  </r>
  <r>
    <x v="180"/>
    <x v="180"/>
    <x v="5"/>
    <x v="1"/>
    <x v="5"/>
    <x v="1"/>
    <x v="1"/>
    <x v="0"/>
    <x v="1"/>
    <x v="1"/>
  </r>
  <r>
    <x v="181"/>
    <x v="181"/>
    <x v="1"/>
    <x v="0"/>
    <x v="5"/>
    <x v="0"/>
    <x v="2"/>
    <x v="0"/>
    <x v="2"/>
    <x v="0"/>
  </r>
  <r>
    <x v="182"/>
    <x v="182"/>
    <x v="4"/>
    <x v="0"/>
    <x v="5"/>
    <x v="1"/>
    <x v="1"/>
    <x v="0"/>
    <x v="1"/>
    <x v="1"/>
  </r>
  <r>
    <x v="183"/>
    <x v="183"/>
    <x v="4"/>
    <x v="2"/>
    <x v="1"/>
    <x v="1"/>
    <x v="1"/>
    <x v="0"/>
    <x v="1"/>
    <x v="1"/>
  </r>
  <r>
    <x v="184"/>
    <x v="184"/>
    <x v="5"/>
    <x v="1"/>
    <x v="0"/>
    <x v="1"/>
    <x v="1"/>
    <x v="0"/>
    <x v="1"/>
    <x v="1"/>
  </r>
  <r>
    <x v="185"/>
    <x v="185"/>
    <x v="0"/>
    <x v="2"/>
    <x v="1"/>
    <x v="1"/>
    <x v="1"/>
    <x v="0"/>
    <x v="1"/>
    <x v="1"/>
  </r>
  <r>
    <x v="186"/>
    <x v="186"/>
    <x v="5"/>
    <x v="2"/>
    <x v="7"/>
    <x v="1"/>
    <x v="1"/>
    <x v="0"/>
    <x v="1"/>
    <x v="1"/>
  </r>
  <r>
    <x v="187"/>
    <x v="187"/>
    <x v="1"/>
    <x v="0"/>
    <x v="2"/>
    <x v="1"/>
    <x v="1"/>
    <x v="0"/>
    <x v="1"/>
    <x v="1"/>
  </r>
  <r>
    <x v="188"/>
    <x v="188"/>
    <x v="2"/>
    <x v="0"/>
    <x v="5"/>
    <x v="1"/>
    <x v="1"/>
    <x v="0"/>
    <x v="1"/>
    <x v="1"/>
  </r>
  <r>
    <x v="189"/>
    <x v="189"/>
    <x v="3"/>
    <x v="0"/>
    <x v="7"/>
    <x v="1"/>
    <x v="1"/>
    <x v="0"/>
    <x v="1"/>
    <x v="1"/>
  </r>
  <r>
    <x v="190"/>
    <x v="190"/>
    <x v="4"/>
    <x v="0"/>
    <x v="1"/>
    <x v="1"/>
    <x v="1"/>
    <x v="0"/>
    <x v="1"/>
    <x v="1"/>
  </r>
  <r>
    <x v="191"/>
    <x v="191"/>
    <x v="1"/>
    <x v="2"/>
    <x v="4"/>
    <x v="1"/>
    <x v="1"/>
    <x v="0"/>
    <x v="1"/>
    <x v="1"/>
  </r>
  <r>
    <x v="192"/>
    <x v="192"/>
    <x v="4"/>
    <x v="2"/>
    <x v="5"/>
    <x v="1"/>
    <x v="1"/>
    <x v="0"/>
    <x v="1"/>
    <x v="1"/>
  </r>
  <r>
    <x v="193"/>
    <x v="193"/>
    <x v="0"/>
    <x v="2"/>
    <x v="3"/>
    <x v="1"/>
    <x v="1"/>
    <x v="0"/>
    <x v="1"/>
    <x v="1"/>
  </r>
  <r>
    <x v="194"/>
    <x v="194"/>
    <x v="2"/>
    <x v="0"/>
    <x v="5"/>
    <x v="1"/>
    <x v="1"/>
    <x v="0"/>
    <x v="1"/>
    <x v="1"/>
  </r>
  <r>
    <x v="195"/>
    <x v="195"/>
    <x v="2"/>
    <x v="2"/>
    <x v="6"/>
    <x v="0"/>
    <x v="0"/>
    <x v="0"/>
    <x v="0"/>
    <x v="0"/>
  </r>
  <r>
    <x v="196"/>
    <x v="196"/>
    <x v="2"/>
    <x v="2"/>
    <x v="0"/>
    <x v="1"/>
    <x v="1"/>
    <x v="0"/>
    <x v="1"/>
    <x v="1"/>
  </r>
  <r>
    <x v="197"/>
    <x v="197"/>
    <x v="3"/>
    <x v="1"/>
    <x v="0"/>
    <x v="1"/>
    <x v="1"/>
    <x v="0"/>
    <x v="1"/>
    <x v="1"/>
  </r>
  <r>
    <x v="198"/>
    <x v="198"/>
    <x v="5"/>
    <x v="2"/>
    <x v="1"/>
    <x v="2"/>
    <x v="5"/>
    <x v="0"/>
    <x v="8"/>
    <x v="0"/>
  </r>
  <r>
    <x v="199"/>
    <x v="199"/>
    <x v="2"/>
    <x v="0"/>
    <x v="7"/>
    <x v="1"/>
    <x v="1"/>
    <x v="0"/>
    <x v="1"/>
    <x v="1"/>
  </r>
  <r>
    <x v="200"/>
    <x v="200"/>
    <x v="0"/>
    <x v="1"/>
    <x v="3"/>
    <x v="1"/>
    <x v="1"/>
    <x v="0"/>
    <x v="1"/>
    <x v="1"/>
  </r>
  <r>
    <x v="201"/>
    <x v="201"/>
    <x v="0"/>
    <x v="0"/>
    <x v="5"/>
    <x v="1"/>
    <x v="1"/>
    <x v="0"/>
    <x v="1"/>
    <x v="1"/>
  </r>
  <r>
    <x v="202"/>
    <x v="202"/>
    <x v="1"/>
    <x v="1"/>
    <x v="6"/>
    <x v="1"/>
    <x v="1"/>
    <x v="0"/>
    <x v="1"/>
    <x v="1"/>
  </r>
  <r>
    <x v="203"/>
    <x v="203"/>
    <x v="5"/>
    <x v="1"/>
    <x v="3"/>
    <x v="1"/>
    <x v="1"/>
    <x v="0"/>
    <x v="1"/>
    <x v="1"/>
  </r>
  <r>
    <x v="204"/>
    <x v="204"/>
    <x v="3"/>
    <x v="0"/>
    <x v="3"/>
    <x v="1"/>
    <x v="1"/>
    <x v="0"/>
    <x v="1"/>
    <x v="1"/>
  </r>
  <r>
    <x v="205"/>
    <x v="205"/>
    <x v="5"/>
    <x v="2"/>
    <x v="6"/>
    <x v="1"/>
    <x v="1"/>
    <x v="0"/>
    <x v="1"/>
    <x v="1"/>
  </r>
  <r>
    <x v="206"/>
    <x v="206"/>
    <x v="2"/>
    <x v="2"/>
    <x v="7"/>
    <x v="1"/>
    <x v="1"/>
    <x v="0"/>
    <x v="1"/>
    <x v="1"/>
  </r>
  <r>
    <x v="207"/>
    <x v="207"/>
    <x v="1"/>
    <x v="2"/>
    <x v="0"/>
    <x v="1"/>
    <x v="1"/>
    <x v="0"/>
    <x v="1"/>
    <x v="1"/>
  </r>
  <r>
    <x v="208"/>
    <x v="208"/>
    <x v="0"/>
    <x v="0"/>
    <x v="1"/>
    <x v="1"/>
    <x v="1"/>
    <x v="0"/>
    <x v="1"/>
    <x v="1"/>
  </r>
  <r>
    <x v="209"/>
    <x v="209"/>
    <x v="3"/>
    <x v="0"/>
    <x v="5"/>
    <x v="1"/>
    <x v="1"/>
    <x v="0"/>
    <x v="1"/>
    <x v="1"/>
  </r>
  <r>
    <x v="210"/>
    <x v="210"/>
    <x v="3"/>
    <x v="0"/>
    <x v="5"/>
    <x v="1"/>
    <x v="1"/>
    <x v="0"/>
    <x v="1"/>
    <x v="1"/>
  </r>
  <r>
    <x v="211"/>
    <x v="211"/>
    <x v="1"/>
    <x v="0"/>
    <x v="1"/>
    <x v="2"/>
    <x v="9"/>
    <x v="0"/>
    <x v="9"/>
    <x v="0"/>
  </r>
  <r>
    <x v="212"/>
    <x v="212"/>
    <x v="4"/>
    <x v="2"/>
    <x v="1"/>
    <x v="1"/>
    <x v="1"/>
    <x v="0"/>
    <x v="1"/>
    <x v="1"/>
  </r>
  <r>
    <x v="213"/>
    <x v="213"/>
    <x v="5"/>
    <x v="0"/>
    <x v="4"/>
    <x v="3"/>
    <x v="10"/>
    <x v="1"/>
    <x v="10"/>
    <x v="0"/>
  </r>
  <r>
    <x v="214"/>
    <x v="214"/>
    <x v="0"/>
    <x v="0"/>
    <x v="6"/>
    <x v="1"/>
    <x v="1"/>
    <x v="0"/>
    <x v="1"/>
    <x v="1"/>
  </r>
  <r>
    <x v="215"/>
    <x v="215"/>
    <x v="4"/>
    <x v="2"/>
    <x v="6"/>
    <x v="1"/>
    <x v="1"/>
    <x v="0"/>
    <x v="1"/>
    <x v="1"/>
  </r>
  <r>
    <x v="216"/>
    <x v="216"/>
    <x v="4"/>
    <x v="1"/>
    <x v="5"/>
    <x v="0"/>
    <x v="4"/>
    <x v="0"/>
    <x v="4"/>
    <x v="0"/>
  </r>
  <r>
    <x v="217"/>
    <x v="217"/>
    <x v="3"/>
    <x v="2"/>
    <x v="1"/>
    <x v="1"/>
    <x v="1"/>
    <x v="0"/>
    <x v="1"/>
    <x v="1"/>
  </r>
  <r>
    <x v="218"/>
    <x v="218"/>
    <x v="1"/>
    <x v="0"/>
    <x v="7"/>
    <x v="1"/>
    <x v="1"/>
    <x v="0"/>
    <x v="1"/>
    <x v="1"/>
  </r>
  <r>
    <x v="219"/>
    <x v="219"/>
    <x v="3"/>
    <x v="1"/>
    <x v="5"/>
    <x v="1"/>
    <x v="1"/>
    <x v="0"/>
    <x v="1"/>
    <x v="1"/>
  </r>
  <r>
    <x v="220"/>
    <x v="220"/>
    <x v="3"/>
    <x v="1"/>
    <x v="4"/>
    <x v="1"/>
    <x v="1"/>
    <x v="0"/>
    <x v="1"/>
    <x v="1"/>
  </r>
  <r>
    <x v="221"/>
    <x v="221"/>
    <x v="4"/>
    <x v="2"/>
    <x v="7"/>
    <x v="1"/>
    <x v="1"/>
    <x v="0"/>
    <x v="1"/>
    <x v="1"/>
  </r>
  <r>
    <x v="222"/>
    <x v="222"/>
    <x v="4"/>
    <x v="1"/>
    <x v="6"/>
    <x v="1"/>
    <x v="1"/>
    <x v="0"/>
    <x v="1"/>
    <x v="1"/>
  </r>
  <r>
    <x v="223"/>
    <x v="223"/>
    <x v="0"/>
    <x v="2"/>
    <x v="4"/>
    <x v="1"/>
    <x v="1"/>
    <x v="0"/>
    <x v="1"/>
    <x v="1"/>
  </r>
  <r>
    <x v="224"/>
    <x v="224"/>
    <x v="4"/>
    <x v="1"/>
    <x v="4"/>
    <x v="1"/>
    <x v="1"/>
    <x v="0"/>
    <x v="1"/>
    <x v="1"/>
  </r>
  <r>
    <x v="225"/>
    <x v="225"/>
    <x v="0"/>
    <x v="0"/>
    <x v="2"/>
    <x v="1"/>
    <x v="1"/>
    <x v="0"/>
    <x v="1"/>
    <x v="1"/>
  </r>
  <r>
    <x v="226"/>
    <x v="226"/>
    <x v="2"/>
    <x v="2"/>
    <x v="0"/>
    <x v="1"/>
    <x v="1"/>
    <x v="0"/>
    <x v="1"/>
    <x v="1"/>
  </r>
  <r>
    <x v="227"/>
    <x v="227"/>
    <x v="4"/>
    <x v="0"/>
    <x v="5"/>
    <x v="1"/>
    <x v="1"/>
    <x v="0"/>
    <x v="1"/>
    <x v="1"/>
  </r>
  <r>
    <x v="228"/>
    <x v="228"/>
    <x v="5"/>
    <x v="2"/>
    <x v="0"/>
    <x v="2"/>
    <x v="5"/>
    <x v="0"/>
    <x v="8"/>
    <x v="0"/>
  </r>
  <r>
    <x v="229"/>
    <x v="229"/>
    <x v="0"/>
    <x v="1"/>
    <x v="3"/>
    <x v="0"/>
    <x v="0"/>
    <x v="0"/>
    <x v="0"/>
    <x v="0"/>
  </r>
  <r>
    <x v="230"/>
    <x v="230"/>
    <x v="3"/>
    <x v="2"/>
    <x v="5"/>
    <x v="2"/>
    <x v="9"/>
    <x v="0"/>
    <x v="9"/>
    <x v="0"/>
  </r>
  <r>
    <x v="231"/>
    <x v="231"/>
    <x v="2"/>
    <x v="1"/>
    <x v="1"/>
    <x v="1"/>
    <x v="1"/>
    <x v="0"/>
    <x v="1"/>
    <x v="1"/>
  </r>
  <r>
    <x v="232"/>
    <x v="232"/>
    <x v="3"/>
    <x v="0"/>
    <x v="1"/>
    <x v="1"/>
    <x v="1"/>
    <x v="0"/>
    <x v="1"/>
    <x v="1"/>
  </r>
  <r>
    <x v="233"/>
    <x v="233"/>
    <x v="3"/>
    <x v="0"/>
    <x v="2"/>
    <x v="1"/>
    <x v="1"/>
    <x v="0"/>
    <x v="1"/>
    <x v="1"/>
  </r>
  <r>
    <x v="234"/>
    <x v="234"/>
    <x v="4"/>
    <x v="0"/>
    <x v="5"/>
    <x v="1"/>
    <x v="1"/>
    <x v="0"/>
    <x v="1"/>
    <x v="1"/>
  </r>
  <r>
    <x v="235"/>
    <x v="235"/>
    <x v="0"/>
    <x v="0"/>
    <x v="1"/>
    <x v="0"/>
    <x v="2"/>
    <x v="0"/>
    <x v="2"/>
    <x v="0"/>
  </r>
  <r>
    <x v="236"/>
    <x v="236"/>
    <x v="2"/>
    <x v="2"/>
    <x v="2"/>
    <x v="1"/>
    <x v="1"/>
    <x v="0"/>
    <x v="1"/>
    <x v="1"/>
  </r>
  <r>
    <x v="237"/>
    <x v="237"/>
    <x v="2"/>
    <x v="0"/>
    <x v="5"/>
    <x v="1"/>
    <x v="1"/>
    <x v="0"/>
    <x v="1"/>
    <x v="1"/>
  </r>
  <r>
    <x v="238"/>
    <x v="238"/>
    <x v="2"/>
    <x v="1"/>
    <x v="7"/>
    <x v="0"/>
    <x v="4"/>
    <x v="0"/>
    <x v="4"/>
    <x v="0"/>
  </r>
  <r>
    <x v="239"/>
    <x v="239"/>
    <x v="4"/>
    <x v="1"/>
    <x v="2"/>
    <x v="1"/>
    <x v="1"/>
    <x v="0"/>
    <x v="1"/>
    <x v="1"/>
  </r>
  <r>
    <x v="240"/>
    <x v="240"/>
    <x v="1"/>
    <x v="0"/>
    <x v="7"/>
    <x v="1"/>
    <x v="1"/>
    <x v="0"/>
    <x v="1"/>
    <x v="1"/>
  </r>
  <r>
    <x v="241"/>
    <x v="241"/>
    <x v="1"/>
    <x v="0"/>
    <x v="0"/>
    <x v="1"/>
    <x v="1"/>
    <x v="0"/>
    <x v="1"/>
    <x v="1"/>
  </r>
  <r>
    <x v="242"/>
    <x v="242"/>
    <x v="0"/>
    <x v="0"/>
    <x v="0"/>
    <x v="1"/>
    <x v="1"/>
    <x v="0"/>
    <x v="1"/>
    <x v="1"/>
  </r>
  <r>
    <x v="243"/>
    <x v="243"/>
    <x v="0"/>
    <x v="1"/>
    <x v="1"/>
    <x v="1"/>
    <x v="1"/>
    <x v="0"/>
    <x v="1"/>
    <x v="1"/>
  </r>
  <r>
    <x v="244"/>
    <x v="244"/>
    <x v="4"/>
    <x v="0"/>
    <x v="4"/>
    <x v="1"/>
    <x v="1"/>
    <x v="0"/>
    <x v="1"/>
    <x v="1"/>
  </r>
  <r>
    <x v="245"/>
    <x v="245"/>
    <x v="1"/>
    <x v="2"/>
    <x v="5"/>
    <x v="2"/>
    <x v="11"/>
    <x v="2"/>
    <x v="0"/>
    <x v="0"/>
  </r>
  <r>
    <x v="246"/>
    <x v="246"/>
    <x v="1"/>
    <x v="2"/>
    <x v="1"/>
    <x v="0"/>
    <x v="4"/>
    <x v="0"/>
    <x v="4"/>
    <x v="0"/>
  </r>
  <r>
    <x v="247"/>
    <x v="247"/>
    <x v="4"/>
    <x v="2"/>
    <x v="5"/>
    <x v="1"/>
    <x v="1"/>
    <x v="0"/>
    <x v="1"/>
    <x v="1"/>
  </r>
  <r>
    <x v="248"/>
    <x v="248"/>
    <x v="1"/>
    <x v="1"/>
    <x v="7"/>
    <x v="0"/>
    <x v="0"/>
    <x v="0"/>
    <x v="0"/>
    <x v="0"/>
  </r>
  <r>
    <x v="249"/>
    <x v="249"/>
    <x v="5"/>
    <x v="0"/>
    <x v="4"/>
    <x v="1"/>
    <x v="1"/>
    <x v="0"/>
    <x v="1"/>
    <x v="1"/>
  </r>
  <r>
    <x v="250"/>
    <x v="250"/>
    <x v="0"/>
    <x v="1"/>
    <x v="2"/>
    <x v="1"/>
    <x v="1"/>
    <x v="0"/>
    <x v="1"/>
    <x v="1"/>
  </r>
  <r>
    <x v="251"/>
    <x v="251"/>
    <x v="0"/>
    <x v="1"/>
    <x v="2"/>
    <x v="2"/>
    <x v="12"/>
    <x v="2"/>
    <x v="4"/>
    <x v="0"/>
  </r>
  <r>
    <x v="252"/>
    <x v="252"/>
    <x v="2"/>
    <x v="1"/>
    <x v="7"/>
    <x v="1"/>
    <x v="1"/>
    <x v="0"/>
    <x v="1"/>
    <x v="1"/>
  </r>
  <r>
    <x v="253"/>
    <x v="253"/>
    <x v="5"/>
    <x v="1"/>
    <x v="1"/>
    <x v="1"/>
    <x v="1"/>
    <x v="0"/>
    <x v="1"/>
    <x v="1"/>
  </r>
  <r>
    <x v="254"/>
    <x v="254"/>
    <x v="2"/>
    <x v="2"/>
    <x v="3"/>
    <x v="1"/>
    <x v="1"/>
    <x v="0"/>
    <x v="1"/>
    <x v="1"/>
  </r>
  <r>
    <x v="255"/>
    <x v="255"/>
    <x v="4"/>
    <x v="0"/>
    <x v="6"/>
    <x v="1"/>
    <x v="1"/>
    <x v="0"/>
    <x v="1"/>
    <x v="1"/>
  </r>
  <r>
    <x v="256"/>
    <x v="256"/>
    <x v="1"/>
    <x v="0"/>
    <x v="5"/>
    <x v="1"/>
    <x v="1"/>
    <x v="0"/>
    <x v="1"/>
    <x v="1"/>
  </r>
  <r>
    <x v="257"/>
    <x v="257"/>
    <x v="1"/>
    <x v="1"/>
    <x v="1"/>
    <x v="1"/>
    <x v="1"/>
    <x v="0"/>
    <x v="1"/>
    <x v="1"/>
  </r>
  <r>
    <x v="258"/>
    <x v="258"/>
    <x v="4"/>
    <x v="1"/>
    <x v="5"/>
    <x v="1"/>
    <x v="1"/>
    <x v="0"/>
    <x v="1"/>
    <x v="1"/>
  </r>
  <r>
    <x v="259"/>
    <x v="259"/>
    <x v="1"/>
    <x v="2"/>
    <x v="3"/>
    <x v="1"/>
    <x v="1"/>
    <x v="0"/>
    <x v="1"/>
    <x v="1"/>
  </r>
  <r>
    <x v="260"/>
    <x v="260"/>
    <x v="4"/>
    <x v="2"/>
    <x v="6"/>
    <x v="1"/>
    <x v="1"/>
    <x v="0"/>
    <x v="1"/>
    <x v="1"/>
  </r>
  <r>
    <x v="261"/>
    <x v="261"/>
    <x v="0"/>
    <x v="0"/>
    <x v="6"/>
    <x v="1"/>
    <x v="1"/>
    <x v="0"/>
    <x v="1"/>
    <x v="1"/>
  </r>
  <r>
    <x v="262"/>
    <x v="262"/>
    <x v="3"/>
    <x v="0"/>
    <x v="6"/>
    <x v="1"/>
    <x v="1"/>
    <x v="0"/>
    <x v="1"/>
    <x v="1"/>
  </r>
  <r>
    <x v="263"/>
    <x v="263"/>
    <x v="1"/>
    <x v="0"/>
    <x v="4"/>
    <x v="1"/>
    <x v="1"/>
    <x v="0"/>
    <x v="1"/>
    <x v="1"/>
  </r>
  <r>
    <x v="264"/>
    <x v="264"/>
    <x v="3"/>
    <x v="0"/>
    <x v="0"/>
    <x v="1"/>
    <x v="1"/>
    <x v="0"/>
    <x v="1"/>
    <x v="1"/>
  </r>
  <r>
    <x v="265"/>
    <x v="265"/>
    <x v="0"/>
    <x v="0"/>
    <x v="1"/>
    <x v="1"/>
    <x v="1"/>
    <x v="0"/>
    <x v="1"/>
    <x v="1"/>
  </r>
  <r>
    <x v="266"/>
    <x v="266"/>
    <x v="3"/>
    <x v="0"/>
    <x v="4"/>
    <x v="1"/>
    <x v="1"/>
    <x v="0"/>
    <x v="1"/>
    <x v="1"/>
  </r>
  <r>
    <x v="267"/>
    <x v="267"/>
    <x v="3"/>
    <x v="2"/>
    <x v="2"/>
    <x v="1"/>
    <x v="1"/>
    <x v="0"/>
    <x v="1"/>
    <x v="1"/>
  </r>
  <r>
    <x v="268"/>
    <x v="268"/>
    <x v="5"/>
    <x v="1"/>
    <x v="3"/>
    <x v="1"/>
    <x v="1"/>
    <x v="0"/>
    <x v="1"/>
    <x v="1"/>
  </r>
  <r>
    <x v="269"/>
    <x v="269"/>
    <x v="1"/>
    <x v="2"/>
    <x v="4"/>
    <x v="1"/>
    <x v="1"/>
    <x v="0"/>
    <x v="1"/>
    <x v="1"/>
  </r>
  <r>
    <x v="270"/>
    <x v="270"/>
    <x v="1"/>
    <x v="0"/>
    <x v="4"/>
    <x v="1"/>
    <x v="1"/>
    <x v="0"/>
    <x v="1"/>
    <x v="1"/>
  </r>
  <r>
    <x v="271"/>
    <x v="271"/>
    <x v="2"/>
    <x v="0"/>
    <x v="5"/>
    <x v="1"/>
    <x v="1"/>
    <x v="0"/>
    <x v="1"/>
    <x v="1"/>
  </r>
  <r>
    <x v="272"/>
    <x v="272"/>
    <x v="1"/>
    <x v="2"/>
    <x v="3"/>
    <x v="1"/>
    <x v="1"/>
    <x v="0"/>
    <x v="1"/>
    <x v="1"/>
  </r>
  <r>
    <x v="273"/>
    <x v="273"/>
    <x v="0"/>
    <x v="2"/>
    <x v="3"/>
    <x v="1"/>
    <x v="1"/>
    <x v="0"/>
    <x v="1"/>
    <x v="1"/>
  </r>
  <r>
    <x v="274"/>
    <x v="274"/>
    <x v="0"/>
    <x v="0"/>
    <x v="1"/>
    <x v="1"/>
    <x v="1"/>
    <x v="0"/>
    <x v="1"/>
    <x v="1"/>
  </r>
  <r>
    <x v="275"/>
    <x v="275"/>
    <x v="4"/>
    <x v="1"/>
    <x v="3"/>
    <x v="0"/>
    <x v="7"/>
    <x v="0"/>
    <x v="6"/>
    <x v="0"/>
  </r>
  <r>
    <x v="276"/>
    <x v="276"/>
    <x v="5"/>
    <x v="2"/>
    <x v="1"/>
    <x v="1"/>
    <x v="1"/>
    <x v="0"/>
    <x v="1"/>
    <x v="1"/>
  </r>
  <r>
    <x v="277"/>
    <x v="277"/>
    <x v="1"/>
    <x v="1"/>
    <x v="5"/>
    <x v="0"/>
    <x v="0"/>
    <x v="0"/>
    <x v="0"/>
    <x v="0"/>
  </r>
  <r>
    <x v="278"/>
    <x v="278"/>
    <x v="1"/>
    <x v="0"/>
    <x v="4"/>
    <x v="1"/>
    <x v="1"/>
    <x v="0"/>
    <x v="1"/>
    <x v="1"/>
  </r>
  <r>
    <x v="279"/>
    <x v="279"/>
    <x v="3"/>
    <x v="1"/>
    <x v="2"/>
    <x v="1"/>
    <x v="1"/>
    <x v="0"/>
    <x v="1"/>
    <x v="1"/>
  </r>
  <r>
    <x v="280"/>
    <x v="280"/>
    <x v="1"/>
    <x v="0"/>
    <x v="5"/>
    <x v="1"/>
    <x v="1"/>
    <x v="0"/>
    <x v="1"/>
    <x v="1"/>
  </r>
  <r>
    <x v="281"/>
    <x v="281"/>
    <x v="1"/>
    <x v="0"/>
    <x v="6"/>
    <x v="1"/>
    <x v="1"/>
    <x v="0"/>
    <x v="1"/>
    <x v="1"/>
  </r>
  <r>
    <x v="282"/>
    <x v="282"/>
    <x v="1"/>
    <x v="2"/>
    <x v="5"/>
    <x v="1"/>
    <x v="1"/>
    <x v="0"/>
    <x v="1"/>
    <x v="1"/>
  </r>
  <r>
    <x v="283"/>
    <x v="283"/>
    <x v="0"/>
    <x v="2"/>
    <x v="4"/>
    <x v="1"/>
    <x v="1"/>
    <x v="0"/>
    <x v="1"/>
    <x v="1"/>
  </r>
  <r>
    <x v="284"/>
    <x v="284"/>
    <x v="1"/>
    <x v="0"/>
    <x v="7"/>
    <x v="1"/>
    <x v="1"/>
    <x v="0"/>
    <x v="1"/>
    <x v="1"/>
  </r>
  <r>
    <x v="285"/>
    <x v="285"/>
    <x v="0"/>
    <x v="1"/>
    <x v="5"/>
    <x v="1"/>
    <x v="1"/>
    <x v="0"/>
    <x v="1"/>
    <x v="1"/>
  </r>
  <r>
    <x v="286"/>
    <x v="286"/>
    <x v="1"/>
    <x v="1"/>
    <x v="7"/>
    <x v="1"/>
    <x v="1"/>
    <x v="0"/>
    <x v="1"/>
    <x v="1"/>
  </r>
  <r>
    <x v="287"/>
    <x v="287"/>
    <x v="3"/>
    <x v="2"/>
    <x v="1"/>
    <x v="2"/>
    <x v="5"/>
    <x v="0"/>
    <x v="8"/>
    <x v="0"/>
  </r>
  <r>
    <x v="288"/>
    <x v="288"/>
    <x v="4"/>
    <x v="1"/>
    <x v="3"/>
    <x v="2"/>
    <x v="9"/>
    <x v="0"/>
    <x v="9"/>
    <x v="0"/>
  </r>
  <r>
    <x v="289"/>
    <x v="289"/>
    <x v="2"/>
    <x v="0"/>
    <x v="4"/>
    <x v="1"/>
    <x v="1"/>
    <x v="0"/>
    <x v="1"/>
    <x v="1"/>
  </r>
  <r>
    <x v="290"/>
    <x v="290"/>
    <x v="3"/>
    <x v="1"/>
    <x v="1"/>
    <x v="0"/>
    <x v="0"/>
    <x v="0"/>
    <x v="0"/>
    <x v="0"/>
  </r>
  <r>
    <x v="291"/>
    <x v="291"/>
    <x v="3"/>
    <x v="0"/>
    <x v="5"/>
    <x v="1"/>
    <x v="1"/>
    <x v="0"/>
    <x v="1"/>
    <x v="1"/>
  </r>
  <r>
    <x v="292"/>
    <x v="292"/>
    <x v="0"/>
    <x v="2"/>
    <x v="7"/>
    <x v="0"/>
    <x v="4"/>
    <x v="0"/>
    <x v="4"/>
    <x v="0"/>
  </r>
  <r>
    <x v="293"/>
    <x v="293"/>
    <x v="1"/>
    <x v="1"/>
    <x v="2"/>
    <x v="0"/>
    <x v="4"/>
    <x v="0"/>
    <x v="4"/>
    <x v="0"/>
  </r>
  <r>
    <x v="294"/>
    <x v="294"/>
    <x v="2"/>
    <x v="0"/>
    <x v="4"/>
    <x v="1"/>
    <x v="1"/>
    <x v="0"/>
    <x v="1"/>
    <x v="1"/>
  </r>
  <r>
    <x v="295"/>
    <x v="295"/>
    <x v="0"/>
    <x v="2"/>
    <x v="5"/>
    <x v="2"/>
    <x v="9"/>
    <x v="0"/>
    <x v="9"/>
    <x v="0"/>
  </r>
  <r>
    <x v="296"/>
    <x v="296"/>
    <x v="4"/>
    <x v="1"/>
    <x v="6"/>
    <x v="1"/>
    <x v="1"/>
    <x v="0"/>
    <x v="1"/>
    <x v="1"/>
  </r>
  <r>
    <x v="297"/>
    <x v="297"/>
    <x v="1"/>
    <x v="0"/>
    <x v="0"/>
    <x v="1"/>
    <x v="1"/>
    <x v="0"/>
    <x v="1"/>
    <x v="1"/>
  </r>
  <r>
    <x v="298"/>
    <x v="298"/>
    <x v="4"/>
    <x v="2"/>
    <x v="1"/>
    <x v="3"/>
    <x v="13"/>
    <x v="3"/>
    <x v="2"/>
    <x v="0"/>
  </r>
  <r>
    <x v="299"/>
    <x v="299"/>
    <x v="4"/>
    <x v="1"/>
    <x v="1"/>
    <x v="1"/>
    <x v="1"/>
    <x v="0"/>
    <x v="1"/>
    <x v="1"/>
  </r>
  <r>
    <x v="300"/>
    <x v="300"/>
    <x v="5"/>
    <x v="1"/>
    <x v="3"/>
    <x v="1"/>
    <x v="1"/>
    <x v="0"/>
    <x v="1"/>
    <x v="1"/>
  </r>
  <r>
    <x v="301"/>
    <x v="301"/>
    <x v="2"/>
    <x v="0"/>
    <x v="2"/>
    <x v="1"/>
    <x v="1"/>
    <x v="0"/>
    <x v="1"/>
    <x v="1"/>
  </r>
  <r>
    <x v="302"/>
    <x v="302"/>
    <x v="0"/>
    <x v="2"/>
    <x v="1"/>
    <x v="1"/>
    <x v="1"/>
    <x v="0"/>
    <x v="1"/>
    <x v="1"/>
  </r>
  <r>
    <x v="303"/>
    <x v="303"/>
    <x v="1"/>
    <x v="2"/>
    <x v="4"/>
    <x v="1"/>
    <x v="1"/>
    <x v="0"/>
    <x v="1"/>
    <x v="1"/>
  </r>
  <r>
    <x v="304"/>
    <x v="304"/>
    <x v="5"/>
    <x v="1"/>
    <x v="3"/>
    <x v="1"/>
    <x v="1"/>
    <x v="0"/>
    <x v="1"/>
    <x v="1"/>
  </r>
  <r>
    <x v="305"/>
    <x v="305"/>
    <x v="2"/>
    <x v="1"/>
    <x v="5"/>
    <x v="0"/>
    <x v="2"/>
    <x v="0"/>
    <x v="2"/>
    <x v="0"/>
  </r>
  <r>
    <x v="306"/>
    <x v="306"/>
    <x v="0"/>
    <x v="2"/>
    <x v="1"/>
    <x v="1"/>
    <x v="1"/>
    <x v="0"/>
    <x v="1"/>
    <x v="1"/>
  </r>
  <r>
    <x v="307"/>
    <x v="307"/>
    <x v="3"/>
    <x v="2"/>
    <x v="1"/>
    <x v="2"/>
    <x v="5"/>
    <x v="0"/>
    <x v="8"/>
    <x v="0"/>
  </r>
  <r>
    <x v="308"/>
    <x v="308"/>
    <x v="0"/>
    <x v="1"/>
    <x v="2"/>
    <x v="1"/>
    <x v="1"/>
    <x v="0"/>
    <x v="1"/>
    <x v="1"/>
  </r>
  <r>
    <x v="309"/>
    <x v="309"/>
    <x v="3"/>
    <x v="2"/>
    <x v="1"/>
    <x v="0"/>
    <x v="4"/>
    <x v="0"/>
    <x v="4"/>
    <x v="0"/>
  </r>
  <r>
    <x v="310"/>
    <x v="310"/>
    <x v="3"/>
    <x v="0"/>
    <x v="2"/>
    <x v="1"/>
    <x v="1"/>
    <x v="0"/>
    <x v="1"/>
    <x v="1"/>
  </r>
  <r>
    <x v="311"/>
    <x v="311"/>
    <x v="3"/>
    <x v="0"/>
    <x v="1"/>
    <x v="1"/>
    <x v="1"/>
    <x v="0"/>
    <x v="1"/>
    <x v="1"/>
  </r>
  <r>
    <x v="312"/>
    <x v="312"/>
    <x v="1"/>
    <x v="2"/>
    <x v="5"/>
    <x v="1"/>
    <x v="1"/>
    <x v="0"/>
    <x v="1"/>
    <x v="1"/>
  </r>
  <r>
    <x v="313"/>
    <x v="313"/>
    <x v="5"/>
    <x v="1"/>
    <x v="5"/>
    <x v="2"/>
    <x v="6"/>
    <x v="4"/>
    <x v="3"/>
    <x v="0"/>
  </r>
  <r>
    <x v="314"/>
    <x v="314"/>
    <x v="1"/>
    <x v="2"/>
    <x v="7"/>
    <x v="1"/>
    <x v="1"/>
    <x v="0"/>
    <x v="1"/>
    <x v="1"/>
  </r>
  <r>
    <x v="315"/>
    <x v="315"/>
    <x v="5"/>
    <x v="1"/>
    <x v="1"/>
    <x v="1"/>
    <x v="1"/>
    <x v="0"/>
    <x v="1"/>
    <x v="1"/>
  </r>
  <r>
    <x v="316"/>
    <x v="316"/>
    <x v="4"/>
    <x v="2"/>
    <x v="5"/>
    <x v="1"/>
    <x v="1"/>
    <x v="0"/>
    <x v="1"/>
    <x v="1"/>
  </r>
  <r>
    <x v="317"/>
    <x v="317"/>
    <x v="4"/>
    <x v="2"/>
    <x v="4"/>
    <x v="1"/>
    <x v="1"/>
    <x v="0"/>
    <x v="1"/>
    <x v="1"/>
  </r>
  <r>
    <x v="318"/>
    <x v="318"/>
    <x v="4"/>
    <x v="2"/>
    <x v="4"/>
    <x v="1"/>
    <x v="1"/>
    <x v="0"/>
    <x v="1"/>
    <x v="1"/>
  </r>
  <r>
    <x v="319"/>
    <x v="319"/>
    <x v="5"/>
    <x v="0"/>
    <x v="4"/>
    <x v="3"/>
    <x v="13"/>
    <x v="2"/>
    <x v="9"/>
    <x v="0"/>
  </r>
  <r>
    <x v="320"/>
    <x v="320"/>
    <x v="2"/>
    <x v="1"/>
    <x v="3"/>
    <x v="1"/>
    <x v="1"/>
    <x v="0"/>
    <x v="1"/>
    <x v="1"/>
  </r>
  <r>
    <x v="321"/>
    <x v="321"/>
    <x v="3"/>
    <x v="1"/>
    <x v="6"/>
    <x v="1"/>
    <x v="1"/>
    <x v="0"/>
    <x v="1"/>
    <x v="1"/>
  </r>
  <r>
    <x v="322"/>
    <x v="322"/>
    <x v="5"/>
    <x v="2"/>
    <x v="7"/>
    <x v="0"/>
    <x v="0"/>
    <x v="0"/>
    <x v="0"/>
    <x v="0"/>
  </r>
  <r>
    <x v="323"/>
    <x v="323"/>
    <x v="2"/>
    <x v="1"/>
    <x v="7"/>
    <x v="1"/>
    <x v="1"/>
    <x v="0"/>
    <x v="1"/>
    <x v="1"/>
  </r>
  <r>
    <x v="324"/>
    <x v="324"/>
    <x v="5"/>
    <x v="2"/>
    <x v="5"/>
    <x v="1"/>
    <x v="1"/>
    <x v="0"/>
    <x v="1"/>
    <x v="1"/>
  </r>
  <r>
    <x v="325"/>
    <x v="325"/>
    <x v="1"/>
    <x v="2"/>
    <x v="5"/>
    <x v="0"/>
    <x v="0"/>
    <x v="0"/>
    <x v="0"/>
    <x v="0"/>
  </r>
  <r>
    <x v="326"/>
    <x v="326"/>
    <x v="3"/>
    <x v="0"/>
    <x v="5"/>
    <x v="1"/>
    <x v="1"/>
    <x v="0"/>
    <x v="1"/>
    <x v="1"/>
  </r>
  <r>
    <x v="327"/>
    <x v="327"/>
    <x v="4"/>
    <x v="2"/>
    <x v="3"/>
    <x v="1"/>
    <x v="1"/>
    <x v="0"/>
    <x v="1"/>
    <x v="1"/>
  </r>
  <r>
    <x v="328"/>
    <x v="328"/>
    <x v="0"/>
    <x v="0"/>
    <x v="2"/>
    <x v="1"/>
    <x v="1"/>
    <x v="0"/>
    <x v="1"/>
    <x v="1"/>
  </r>
  <r>
    <x v="329"/>
    <x v="329"/>
    <x v="5"/>
    <x v="2"/>
    <x v="1"/>
    <x v="1"/>
    <x v="1"/>
    <x v="0"/>
    <x v="1"/>
    <x v="1"/>
  </r>
  <r>
    <x v="330"/>
    <x v="330"/>
    <x v="3"/>
    <x v="2"/>
    <x v="3"/>
    <x v="1"/>
    <x v="1"/>
    <x v="0"/>
    <x v="1"/>
    <x v="1"/>
  </r>
  <r>
    <x v="331"/>
    <x v="331"/>
    <x v="4"/>
    <x v="0"/>
    <x v="5"/>
    <x v="1"/>
    <x v="1"/>
    <x v="0"/>
    <x v="1"/>
    <x v="1"/>
  </r>
  <r>
    <x v="332"/>
    <x v="332"/>
    <x v="1"/>
    <x v="2"/>
    <x v="0"/>
    <x v="0"/>
    <x v="0"/>
    <x v="0"/>
    <x v="0"/>
    <x v="0"/>
  </r>
  <r>
    <x v="333"/>
    <x v="333"/>
    <x v="1"/>
    <x v="1"/>
    <x v="6"/>
    <x v="1"/>
    <x v="1"/>
    <x v="0"/>
    <x v="1"/>
    <x v="1"/>
  </r>
  <r>
    <x v="334"/>
    <x v="334"/>
    <x v="3"/>
    <x v="0"/>
    <x v="0"/>
    <x v="0"/>
    <x v="0"/>
    <x v="0"/>
    <x v="0"/>
    <x v="0"/>
  </r>
  <r>
    <x v="335"/>
    <x v="335"/>
    <x v="3"/>
    <x v="1"/>
    <x v="0"/>
    <x v="2"/>
    <x v="5"/>
    <x v="0"/>
    <x v="8"/>
    <x v="0"/>
  </r>
  <r>
    <x v="336"/>
    <x v="336"/>
    <x v="3"/>
    <x v="1"/>
    <x v="1"/>
    <x v="1"/>
    <x v="1"/>
    <x v="0"/>
    <x v="1"/>
    <x v="1"/>
  </r>
  <r>
    <x v="337"/>
    <x v="337"/>
    <x v="3"/>
    <x v="0"/>
    <x v="0"/>
    <x v="1"/>
    <x v="1"/>
    <x v="0"/>
    <x v="1"/>
    <x v="1"/>
  </r>
  <r>
    <x v="338"/>
    <x v="338"/>
    <x v="4"/>
    <x v="1"/>
    <x v="0"/>
    <x v="1"/>
    <x v="1"/>
    <x v="0"/>
    <x v="1"/>
    <x v="1"/>
  </r>
  <r>
    <x v="339"/>
    <x v="339"/>
    <x v="5"/>
    <x v="0"/>
    <x v="7"/>
    <x v="1"/>
    <x v="1"/>
    <x v="0"/>
    <x v="1"/>
    <x v="1"/>
  </r>
  <r>
    <x v="340"/>
    <x v="340"/>
    <x v="1"/>
    <x v="2"/>
    <x v="5"/>
    <x v="1"/>
    <x v="1"/>
    <x v="0"/>
    <x v="1"/>
    <x v="1"/>
  </r>
  <r>
    <x v="341"/>
    <x v="341"/>
    <x v="3"/>
    <x v="1"/>
    <x v="4"/>
    <x v="2"/>
    <x v="11"/>
    <x v="2"/>
    <x v="0"/>
    <x v="0"/>
  </r>
  <r>
    <x v="342"/>
    <x v="342"/>
    <x v="3"/>
    <x v="1"/>
    <x v="5"/>
    <x v="1"/>
    <x v="1"/>
    <x v="0"/>
    <x v="1"/>
    <x v="1"/>
  </r>
  <r>
    <x v="343"/>
    <x v="343"/>
    <x v="1"/>
    <x v="2"/>
    <x v="2"/>
    <x v="1"/>
    <x v="1"/>
    <x v="0"/>
    <x v="1"/>
    <x v="1"/>
  </r>
  <r>
    <x v="344"/>
    <x v="344"/>
    <x v="2"/>
    <x v="1"/>
    <x v="6"/>
    <x v="0"/>
    <x v="4"/>
    <x v="0"/>
    <x v="4"/>
    <x v="0"/>
  </r>
  <r>
    <x v="345"/>
    <x v="345"/>
    <x v="2"/>
    <x v="1"/>
    <x v="0"/>
    <x v="1"/>
    <x v="1"/>
    <x v="0"/>
    <x v="1"/>
    <x v="1"/>
  </r>
  <r>
    <x v="346"/>
    <x v="346"/>
    <x v="3"/>
    <x v="2"/>
    <x v="5"/>
    <x v="1"/>
    <x v="1"/>
    <x v="0"/>
    <x v="1"/>
    <x v="1"/>
  </r>
  <r>
    <x v="347"/>
    <x v="347"/>
    <x v="0"/>
    <x v="1"/>
    <x v="5"/>
    <x v="1"/>
    <x v="1"/>
    <x v="0"/>
    <x v="1"/>
    <x v="1"/>
  </r>
  <r>
    <x v="348"/>
    <x v="348"/>
    <x v="2"/>
    <x v="1"/>
    <x v="6"/>
    <x v="1"/>
    <x v="1"/>
    <x v="0"/>
    <x v="1"/>
    <x v="1"/>
  </r>
  <r>
    <x v="349"/>
    <x v="349"/>
    <x v="1"/>
    <x v="1"/>
    <x v="7"/>
    <x v="1"/>
    <x v="1"/>
    <x v="0"/>
    <x v="1"/>
    <x v="1"/>
  </r>
  <r>
    <x v="350"/>
    <x v="350"/>
    <x v="1"/>
    <x v="0"/>
    <x v="5"/>
    <x v="1"/>
    <x v="1"/>
    <x v="0"/>
    <x v="1"/>
    <x v="1"/>
  </r>
  <r>
    <x v="351"/>
    <x v="351"/>
    <x v="4"/>
    <x v="2"/>
    <x v="5"/>
    <x v="1"/>
    <x v="1"/>
    <x v="0"/>
    <x v="1"/>
    <x v="1"/>
  </r>
  <r>
    <x v="352"/>
    <x v="352"/>
    <x v="2"/>
    <x v="2"/>
    <x v="7"/>
    <x v="1"/>
    <x v="1"/>
    <x v="0"/>
    <x v="1"/>
    <x v="1"/>
  </r>
  <r>
    <x v="353"/>
    <x v="353"/>
    <x v="4"/>
    <x v="0"/>
    <x v="7"/>
    <x v="1"/>
    <x v="1"/>
    <x v="0"/>
    <x v="1"/>
    <x v="1"/>
  </r>
  <r>
    <x v="354"/>
    <x v="354"/>
    <x v="1"/>
    <x v="0"/>
    <x v="5"/>
    <x v="0"/>
    <x v="8"/>
    <x v="0"/>
    <x v="7"/>
    <x v="0"/>
  </r>
  <r>
    <x v="355"/>
    <x v="355"/>
    <x v="5"/>
    <x v="2"/>
    <x v="4"/>
    <x v="1"/>
    <x v="1"/>
    <x v="0"/>
    <x v="1"/>
    <x v="1"/>
  </r>
  <r>
    <x v="356"/>
    <x v="356"/>
    <x v="4"/>
    <x v="2"/>
    <x v="3"/>
    <x v="0"/>
    <x v="0"/>
    <x v="0"/>
    <x v="0"/>
    <x v="0"/>
  </r>
  <r>
    <x v="357"/>
    <x v="357"/>
    <x v="5"/>
    <x v="0"/>
    <x v="5"/>
    <x v="1"/>
    <x v="1"/>
    <x v="0"/>
    <x v="1"/>
    <x v="1"/>
  </r>
  <r>
    <x v="358"/>
    <x v="358"/>
    <x v="4"/>
    <x v="2"/>
    <x v="7"/>
    <x v="0"/>
    <x v="0"/>
    <x v="0"/>
    <x v="0"/>
    <x v="0"/>
  </r>
  <r>
    <x v="359"/>
    <x v="359"/>
    <x v="2"/>
    <x v="0"/>
    <x v="0"/>
    <x v="1"/>
    <x v="1"/>
    <x v="0"/>
    <x v="1"/>
    <x v="1"/>
  </r>
  <r>
    <x v="360"/>
    <x v="360"/>
    <x v="0"/>
    <x v="0"/>
    <x v="5"/>
    <x v="1"/>
    <x v="1"/>
    <x v="0"/>
    <x v="1"/>
    <x v="1"/>
  </r>
  <r>
    <x v="361"/>
    <x v="361"/>
    <x v="4"/>
    <x v="1"/>
    <x v="4"/>
    <x v="1"/>
    <x v="1"/>
    <x v="0"/>
    <x v="1"/>
    <x v="1"/>
  </r>
  <r>
    <x v="362"/>
    <x v="362"/>
    <x v="0"/>
    <x v="0"/>
    <x v="6"/>
    <x v="1"/>
    <x v="1"/>
    <x v="0"/>
    <x v="1"/>
    <x v="1"/>
  </r>
  <r>
    <x v="363"/>
    <x v="363"/>
    <x v="5"/>
    <x v="0"/>
    <x v="0"/>
    <x v="0"/>
    <x v="4"/>
    <x v="0"/>
    <x v="4"/>
    <x v="0"/>
  </r>
  <r>
    <x v="364"/>
    <x v="364"/>
    <x v="2"/>
    <x v="1"/>
    <x v="5"/>
    <x v="1"/>
    <x v="1"/>
    <x v="0"/>
    <x v="1"/>
    <x v="1"/>
  </r>
  <r>
    <x v="365"/>
    <x v="365"/>
    <x v="4"/>
    <x v="0"/>
    <x v="1"/>
    <x v="1"/>
    <x v="1"/>
    <x v="0"/>
    <x v="1"/>
    <x v="1"/>
  </r>
  <r>
    <x v="366"/>
    <x v="366"/>
    <x v="5"/>
    <x v="0"/>
    <x v="6"/>
    <x v="1"/>
    <x v="1"/>
    <x v="0"/>
    <x v="1"/>
    <x v="1"/>
  </r>
  <r>
    <x v="367"/>
    <x v="367"/>
    <x v="3"/>
    <x v="2"/>
    <x v="6"/>
    <x v="0"/>
    <x v="2"/>
    <x v="0"/>
    <x v="2"/>
    <x v="0"/>
  </r>
  <r>
    <x v="368"/>
    <x v="368"/>
    <x v="1"/>
    <x v="1"/>
    <x v="4"/>
    <x v="4"/>
    <x v="14"/>
    <x v="5"/>
    <x v="9"/>
    <x v="0"/>
  </r>
  <r>
    <x v="369"/>
    <x v="369"/>
    <x v="1"/>
    <x v="1"/>
    <x v="5"/>
    <x v="1"/>
    <x v="1"/>
    <x v="0"/>
    <x v="1"/>
    <x v="1"/>
  </r>
  <r>
    <x v="370"/>
    <x v="370"/>
    <x v="1"/>
    <x v="1"/>
    <x v="1"/>
    <x v="0"/>
    <x v="2"/>
    <x v="0"/>
    <x v="2"/>
    <x v="0"/>
  </r>
  <r>
    <x v="371"/>
    <x v="371"/>
    <x v="3"/>
    <x v="1"/>
    <x v="5"/>
    <x v="1"/>
    <x v="1"/>
    <x v="0"/>
    <x v="1"/>
    <x v="1"/>
  </r>
  <r>
    <x v="372"/>
    <x v="372"/>
    <x v="5"/>
    <x v="1"/>
    <x v="1"/>
    <x v="1"/>
    <x v="1"/>
    <x v="0"/>
    <x v="1"/>
    <x v="1"/>
  </r>
  <r>
    <x v="373"/>
    <x v="373"/>
    <x v="3"/>
    <x v="2"/>
    <x v="3"/>
    <x v="1"/>
    <x v="1"/>
    <x v="0"/>
    <x v="1"/>
    <x v="1"/>
  </r>
  <r>
    <x v="374"/>
    <x v="374"/>
    <x v="4"/>
    <x v="1"/>
    <x v="5"/>
    <x v="0"/>
    <x v="2"/>
    <x v="0"/>
    <x v="2"/>
    <x v="0"/>
  </r>
  <r>
    <x v="375"/>
    <x v="375"/>
    <x v="1"/>
    <x v="1"/>
    <x v="0"/>
    <x v="1"/>
    <x v="1"/>
    <x v="0"/>
    <x v="1"/>
    <x v="1"/>
  </r>
  <r>
    <x v="376"/>
    <x v="376"/>
    <x v="2"/>
    <x v="0"/>
    <x v="5"/>
    <x v="1"/>
    <x v="1"/>
    <x v="0"/>
    <x v="1"/>
    <x v="1"/>
  </r>
  <r>
    <x v="377"/>
    <x v="377"/>
    <x v="5"/>
    <x v="2"/>
    <x v="6"/>
    <x v="1"/>
    <x v="1"/>
    <x v="0"/>
    <x v="1"/>
    <x v="1"/>
  </r>
  <r>
    <x v="378"/>
    <x v="378"/>
    <x v="5"/>
    <x v="1"/>
    <x v="0"/>
    <x v="1"/>
    <x v="1"/>
    <x v="0"/>
    <x v="1"/>
    <x v="1"/>
  </r>
  <r>
    <x v="379"/>
    <x v="379"/>
    <x v="2"/>
    <x v="1"/>
    <x v="0"/>
    <x v="1"/>
    <x v="1"/>
    <x v="0"/>
    <x v="1"/>
    <x v="1"/>
  </r>
  <r>
    <x v="380"/>
    <x v="380"/>
    <x v="0"/>
    <x v="2"/>
    <x v="5"/>
    <x v="0"/>
    <x v="2"/>
    <x v="0"/>
    <x v="2"/>
    <x v="0"/>
  </r>
  <r>
    <x v="381"/>
    <x v="381"/>
    <x v="2"/>
    <x v="2"/>
    <x v="7"/>
    <x v="0"/>
    <x v="4"/>
    <x v="0"/>
    <x v="4"/>
    <x v="0"/>
  </r>
  <r>
    <x v="382"/>
    <x v="382"/>
    <x v="1"/>
    <x v="0"/>
    <x v="5"/>
    <x v="1"/>
    <x v="1"/>
    <x v="0"/>
    <x v="1"/>
    <x v="1"/>
  </r>
  <r>
    <x v="383"/>
    <x v="383"/>
    <x v="1"/>
    <x v="0"/>
    <x v="5"/>
    <x v="2"/>
    <x v="11"/>
    <x v="2"/>
    <x v="0"/>
    <x v="0"/>
  </r>
  <r>
    <x v="384"/>
    <x v="384"/>
    <x v="1"/>
    <x v="0"/>
    <x v="6"/>
    <x v="1"/>
    <x v="1"/>
    <x v="0"/>
    <x v="1"/>
    <x v="1"/>
  </r>
  <r>
    <x v="385"/>
    <x v="385"/>
    <x v="4"/>
    <x v="2"/>
    <x v="6"/>
    <x v="1"/>
    <x v="1"/>
    <x v="0"/>
    <x v="1"/>
    <x v="1"/>
  </r>
  <r>
    <x v="386"/>
    <x v="386"/>
    <x v="2"/>
    <x v="1"/>
    <x v="1"/>
    <x v="1"/>
    <x v="1"/>
    <x v="0"/>
    <x v="1"/>
    <x v="1"/>
  </r>
  <r>
    <x v="387"/>
    <x v="387"/>
    <x v="2"/>
    <x v="0"/>
    <x v="1"/>
    <x v="0"/>
    <x v="2"/>
    <x v="0"/>
    <x v="2"/>
    <x v="0"/>
  </r>
  <r>
    <x v="388"/>
    <x v="388"/>
    <x v="1"/>
    <x v="2"/>
    <x v="5"/>
    <x v="0"/>
    <x v="2"/>
    <x v="0"/>
    <x v="2"/>
    <x v="0"/>
  </r>
  <r>
    <x v="389"/>
    <x v="389"/>
    <x v="5"/>
    <x v="0"/>
    <x v="6"/>
    <x v="3"/>
    <x v="15"/>
    <x v="4"/>
    <x v="9"/>
    <x v="0"/>
  </r>
  <r>
    <x v="390"/>
    <x v="390"/>
    <x v="1"/>
    <x v="1"/>
    <x v="6"/>
    <x v="1"/>
    <x v="1"/>
    <x v="0"/>
    <x v="1"/>
    <x v="1"/>
  </r>
  <r>
    <x v="391"/>
    <x v="391"/>
    <x v="2"/>
    <x v="0"/>
    <x v="5"/>
    <x v="2"/>
    <x v="9"/>
    <x v="0"/>
    <x v="9"/>
    <x v="0"/>
  </r>
  <r>
    <x v="392"/>
    <x v="392"/>
    <x v="0"/>
    <x v="0"/>
    <x v="1"/>
    <x v="1"/>
    <x v="1"/>
    <x v="0"/>
    <x v="1"/>
    <x v="1"/>
  </r>
  <r>
    <x v="393"/>
    <x v="393"/>
    <x v="2"/>
    <x v="2"/>
    <x v="7"/>
    <x v="1"/>
    <x v="1"/>
    <x v="0"/>
    <x v="1"/>
    <x v="1"/>
  </r>
  <r>
    <x v="394"/>
    <x v="394"/>
    <x v="3"/>
    <x v="0"/>
    <x v="0"/>
    <x v="0"/>
    <x v="3"/>
    <x v="0"/>
    <x v="3"/>
    <x v="0"/>
  </r>
  <r>
    <x v="395"/>
    <x v="395"/>
    <x v="1"/>
    <x v="1"/>
    <x v="4"/>
    <x v="1"/>
    <x v="1"/>
    <x v="0"/>
    <x v="1"/>
    <x v="1"/>
  </r>
  <r>
    <x v="396"/>
    <x v="396"/>
    <x v="1"/>
    <x v="0"/>
    <x v="5"/>
    <x v="2"/>
    <x v="9"/>
    <x v="0"/>
    <x v="9"/>
    <x v="0"/>
  </r>
  <r>
    <x v="397"/>
    <x v="397"/>
    <x v="0"/>
    <x v="0"/>
    <x v="5"/>
    <x v="1"/>
    <x v="1"/>
    <x v="0"/>
    <x v="1"/>
    <x v="1"/>
  </r>
  <r>
    <x v="398"/>
    <x v="398"/>
    <x v="2"/>
    <x v="2"/>
    <x v="1"/>
    <x v="1"/>
    <x v="1"/>
    <x v="0"/>
    <x v="1"/>
    <x v="1"/>
  </r>
  <r>
    <x v="399"/>
    <x v="399"/>
    <x v="4"/>
    <x v="0"/>
    <x v="3"/>
    <x v="1"/>
    <x v="1"/>
    <x v="0"/>
    <x v="1"/>
    <x v="1"/>
  </r>
  <r>
    <x v="400"/>
    <x v="400"/>
    <x v="2"/>
    <x v="2"/>
    <x v="0"/>
    <x v="0"/>
    <x v="2"/>
    <x v="0"/>
    <x v="2"/>
    <x v="0"/>
  </r>
  <r>
    <x v="401"/>
    <x v="401"/>
    <x v="5"/>
    <x v="2"/>
    <x v="6"/>
    <x v="1"/>
    <x v="1"/>
    <x v="0"/>
    <x v="1"/>
    <x v="1"/>
  </r>
  <r>
    <x v="402"/>
    <x v="402"/>
    <x v="0"/>
    <x v="0"/>
    <x v="6"/>
    <x v="1"/>
    <x v="1"/>
    <x v="0"/>
    <x v="1"/>
    <x v="1"/>
  </r>
  <r>
    <x v="403"/>
    <x v="403"/>
    <x v="2"/>
    <x v="0"/>
    <x v="4"/>
    <x v="0"/>
    <x v="2"/>
    <x v="0"/>
    <x v="2"/>
    <x v="0"/>
  </r>
  <r>
    <x v="404"/>
    <x v="404"/>
    <x v="2"/>
    <x v="2"/>
    <x v="5"/>
    <x v="1"/>
    <x v="1"/>
    <x v="0"/>
    <x v="1"/>
    <x v="1"/>
  </r>
  <r>
    <x v="405"/>
    <x v="405"/>
    <x v="4"/>
    <x v="0"/>
    <x v="1"/>
    <x v="1"/>
    <x v="1"/>
    <x v="0"/>
    <x v="1"/>
    <x v="1"/>
  </r>
  <r>
    <x v="406"/>
    <x v="406"/>
    <x v="2"/>
    <x v="2"/>
    <x v="1"/>
    <x v="0"/>
    <x v="7"/>
    <x v="0"/>
    <x v="6"/>
    <x v="0"/>
  </r>
  <r>
    <x v="407"/>
    <x v="407"/>
    <x v="2"/>
    <x v="0"/>
    <x v="5"/>
    <x v="0"/>
    <x v="4"/>
    <x v="0"/>
    <x v="4"/>
    <x v="0"/>
  </r>
  <r>
    <x v="408"/>
    <x v="408"/>
    <x v="5"/>
    <x v="1"/>
    <x v="2"/>
    <x v="1"/>
    <x v="1"/>
    <x v="0"/>
    <x v="1"/>
    <x v="1"/>
  </r>
  <r>
    <x v="409"/>
    <x v="409"/>
    <x v="4"/>
    <x v="2"/>
    <x v="2"/>
    <x v="1"/>
    <x v="1"/>
    <x v="0"/>
    <x v="1"/>
    <x v="1"/>
  </r>
  <r>
    <x v="410"/>
    <x v="410"/>
    <x v="3"/>
    <x v="0"/>
    <x v="7"/>
    <x v="1"/>
    <x v="1"/>
    <x v="0"/>
    <x v="1"/>
    <x v="1"/>
  </r>
  <r>
    <x v="411"/>
    <x v="411"/>
    <x v="0"/>
    <x v="1"/>
    <x v="6"/>
    <x v="1"/>
    <x v="1"/>
    <x v="0"/>
    <x v="1"/>
    <x v="1"/>
  </r>
  <r>
    <x v="412"/>
    <x v="412"/>
    <x v="5"/>
    <x v="2"/>
    <x v="6"/>
    <x v="1"/>
    <x v="1"/>
    <x v="0"/>
    <x v="1"/>
    <x v="1"/>
  </r>
  <r>
    <x v="413"/>
    <x v="413"/>
    <x v="0"/>
    <x v="2"/>
    <x v="3"/>
    <x v="0"/>
    <x v="0"/>
    <x v="0"/>
    <x v="0"/>
    <x v="0"/>
  </r>
  <r>
    <x v="414"/>
    <x v="414"/>
    <x v="4"/>
    <x v="2"/>
    <x v="7"/>
    <x v="0"/>
    <x v="7"/>
    <x v="0"/>
    <x v="6"/>
    <x v="0"/>
  </r>
  <r>
    <x v="415"/>
    <x v="415"/>
    <x v="2"/>
    <x v="2"/>
    <x v="7"/>
    <x v="1"/>
    <x v="1"/>
    <x v="0"/>
    <x v="1"/>
    <x v="1"/>
  </r>
  <r>
    <x v="416"/>
    <x v="416"/>
    <x v="2"/>
    <x v="1"/>
    <x v="3"/>
    <x v="1"/>
    <x v="1"/>
    <x v="0"/>
    <x v="1"/>
    <x v="1"/>
  </r>
  <r>
    <x v="417"/>
    <x v="417"/>
    <x v="5"/>
    <x v="1"/>
    <x v="7"/>
    <x v="1"/>
    <x v="1"/>
    <x v="0"/>
    <x v="1"/>
    <x v="1"/>
  </r>
  <r>
    <x v="418"/>
    <x v="418"/>
    <x v="4"/>
    <x v="1"/>
    <x v="6"/>
    <x v="1"/>
    <x v="1"/>
    <x v="0"/>
    <x v="1"/>
    <x v="1"/>
  </r>
  <r>
    <x v="419"/>
    <x v="419"/>
    <x v="5"/>
    <x v="0"/>
    <x v="5"/>
    <x v="1"/>
    <x v="1"/>
    <x v="0"/>
    <x v="1"/>
    <x v="1"/>
  </r>
  <r>
    <x v="420"/>
    <x v="420"/>
    <x v="4"/>
    <x v="0"/>
    <x v="1"/>
    <x v="1"/>
    <x v="1"/>
    <x v="0"/>
    <x v="1"/>
    <x v="1"/>
  </r>
  <r>
    <x v="421"/>
    <x v="421"/>
    <x v="2"/>
    <x v="0"/>
    <x v="2"/>
    <x v="1"/>
    <x v="1"/>
    <x v="0"/>
    <x v="1"/>
    <x v="1"/>
  </r>
  <r>
    <x v="422"/>
    <x v="422"/>
    <x v="3"/>
    <x v="0"/>
    <x v="3"/>
    <x v="0"/>
    <x v="4"/>
    <x v="0"/>
    <x v="4"/>
    <x v="0"/>
  </r>
  <r>
    <x v="423"/>
    <x v="423"/>
    <x v="5"/>
    <x v="0"/>
    <x v="7"/>
    <x v="1"/>
    <x v="1"/>
    <x v="0"/>
    <x v="1"/>
    <x v="1"/>
  </r>
  <r>
    <x v="424"/>
    <x v="424"/>
    <x v="3"/>
    <x v="0"/>
    <x v="0"/>
    <x v="1"/>
    <x v="1"/>
    <x v="0"/>
    <x v="1"/>
    <x v="1"/>
  </r>
  <r>
    <x v="425"/>
    <x v="425"/>
    <x v="4"/>
    <x v="0"/>
    <x v="5"/>
    <x v="1"/>
    <x v="1"/>
    <x v="0"/>
    <x v="1"/>
    <x v="1"/>
  </r>
  <r>
    <x v="426"/>
    <x v="426"/>
    <x v="5"/>
    <x v="0"/>
    <x v="3"/>
    <x v="0"/>
    <x v="4"/>
    <x v="0"/>
    <x v="4"/>
    <x v="0"/>
  </r>
  <r>
    <x v="427"/>
    <x v="427"/>
    <x v="1"/>
    <x v="0"/>
    <x v="7"/>
    <x v="1"/>
    <x v="1"/>
    <x v="0"/>
    <x v="1"/>
    <x v="1"/>
  </r>
  <r>
    <x v="428"/>
    <x v="428"/>
    <x v="3"/>
    <x v="2"/>
    <x v="3"/>
    <x v="0"/>
    <x v="0"/>
    <x v="0"/>
    <x v="0"/>
    <x v="0"/>
  </r>
  <r>
    <x v="429"/>
    <x v="429"/>
    <x v="4"/>
    <x v="0"/>
    <x v="5"/>
    <x v="1"/>
    <x v="1"/>
    <x v="0"/>
    <x v="1"/>
    <x v="1"/>
  </r>
  <r>
    <x v="430"/>
    <x v="430"/>
    <x v="2"/>
    <x v="0"/>
    <x v="7"/>
    <x v="0"/>
    <x v="4"/>
    <x v="0"/>
    <x v="4"/>
    <x v="0"/>
  </r>
  <r>
    <x v="431"/>
    <x v="431"/>
    <x v="2"/>
    <x v="2"/>
    <x v="5"/>
    <x v="1"/>
    <x v="1"/>
    <x v="0"/>
    <x v="1"/>
    <x v="1"/>
  </r>
  <r>
    <x v="432"/>
    <x v="432"/>
    <x v="1"/>
    <x v="1"/>
    <x v="7"/>
    <x v="1"/>
    <x v="1"/>
    <x v="0"/>
    <x v="1"/>
    <x v="1"/>
  </r>
  <r>
    <x v="433"/>
    <x v="433"/>
    <x v="0"/>
    <x v="2"/>
    <x v="0"/>
    <x v="1"/>
    <x v="1"/>
    <x v="0"/>
    <x v="1"/>
    <x v="1"/>
  </r>
  <r>
    <x v="434"/>
    <x v="434"/>
    <x v="4"/>
    <x v="0"/>
    <x v="6"/>
    <x v="1"/>
    <x v="1"/>
    <x v="0"/>
    <x v="1"/>
    <x v="1"/>
  </r>
  <r>
    <x v="435"/>
    <x v="435"/>
    <x v="5"/>
    <x v="0"/>
    <x v="2"/>
    <x v="1"/>
    <x v="1"/>
    <x v="0"/>
    <x v="1"/>
    <x v="1"/>
  </r>
  <r>
    <x v="436"/>
    <x v="436"/>
    <x v="1"/>
    <x v="0"/>
    <x v="0"/>
    <x v="0"/>
    <x v="7"/>
    <x v="0"/>
    <x v="6"/>
    <x v="0"/>
  </r>
  <r>
    <x v="437"/>
    <x v="437"/>
    <x v="0"/>
    <x v="1"/>
    <x v="5"/>
    <x v="1"/>
    <x v="1"/>
    <x v="0"/>
    <x v="1"/>
    <x v="1"/>
  </r>
  <r>
    <x v="438"/>
    <x v="438"/>
    <x v="2"/>
    <x v="2"/>
    <x v="7"/>
    <x v="0"/>
    <x v="4"/>
    <x v="0"/>
    <x v="4"/>
    <x v="0"/>
  </r>
  <r>
    <x v="439"/>
    <x v="439"/>
    <x v="5"/>
    <x v="0"/>
    <x v="2"/>
    <x v="1"/>
    <x v="1"/>
    <x v="0"/>
    <x v="1"/>
    <x v="1"/>
  </r>
  <r>
    <x v="440"/>
    <x v="440"/>
    <x v="3"/>
    <x v="0"/>
    <x v="5"/>
    <x v="1"/>
    <x v="1"/>
    <x v="0"/>
    <x v="1"/>
    <x v="1"/>
  </r>
  <r>
    <x v="441"/>
    <x v="441"/>
    <x v="4"/>
    <x v="0"/>
    <x v="1"/>
    <x v="1"/>
    <x v="1"/>
    <x v="0"/>
    <x v="1"/>
    <x v="1"/>
  </r>
  <r>
    <x v="442"/>
    <x v="442"/>
    <x v="4"/>
    <x v="2"/>
    <x v="5"/>
    <x v="2"/>
    <x v="5"/>
    <x v="0"/>
    <x v="8"/>
    <x v="0"/>
  </r>
  <r>
    <x v="443"/>
    <x v="443"/>
    <x v="3"/>
    <x v="0"/>
    <x v="5"/>
    <x v="0"/>
    <x v="8"/>
    <x v="0"/>
    <x v="7"/>
    <x v="0"/>
  </r>
  <r>
    <x v="444"/>
    <x v="444"/>
    <x v="0"/>
    <x v="2"/>
    <x v="0"/>
    <x v="1"/>
    <x v="1"/>
    <x v="0"/>
    <x v="1"/>
    <x v="1"/>
  </r>
  <r>
    <x v="445"/>
    <x v="445"/>
    <x v="1"/>
    <x v="0"/>
    <x v="7"/>
    <x v="1"/>
    <x v="1"/>
    <x v="0"/>
    <x v="1"/>
    <x v="1"/>
  </r>
  <r>
    <x v="446"/>
    <x v="446"/>
    <x v="4"/>
    <x v="1"/>
    <x v="3"/>
    <x v="0"/>
    <x v="2"/>
    <x v="0"/>
    <x v="2"/>
    <x v="0"/>
  </r>
  <r>
    <x v="447"/>
    <x v="447"/>
    <x v="4"/>
    <x v="2"/>
    <x v="0"/>
    <x v="1"/>
    <x v="1"/>
    <x v="0"/>
    <x v="1"/>
    <x v="1"/>
  </r>
  <r>
    <x v="448"/>
    <x v="448"/>
    <x v="3"/>
    <x v="2"/>
    <x v="3"/>
    <x v="1"/>
    <x v="1"/>
    <x v="0"/>
    <x v="1"/>
    <x v="1"/>
  </r>
  <r>
    <x v="449"/>
    <x v="449"/>
    <x v="0"/>
    <x v="0"/>
    <x v="4"/>
    <x v="4"/>
    <x v="16"/>
    <x v="2"/>
    <x v="11"/>
    <x v="0"/>
  </r>
  <r>
    <x v="450"/>
    <x v="450"/>
    <x v="2"/>
    <x v="2"/>
    <x v="5"/>
    <x v="1"/>
    <x v="1"/>
    <x v="0"/>
    <x v="1"/>
    <x v="1"/>
  </r>
  <r>
    <x v="451"/>
    <x v="451"/>
    <x v="3"/>
    <x v="2"/>
    <x v="5"/>
    <x v="0"/>
    <x v="4"/>
    <x v="0"/>
    <x v="4"/>
    <x v="0"/>
  </r>
  <r>
    <x v="452"/>
    <x v="452"/>
    <x v="1"/>
    <x v="1"/>
    <x v="2"/>
    <x v="0"/>
    <x v="4"/>
    <x v="0"/>
    <x v="4"/>
    <x v="0"/>
  </r>
  <r>
    <x v="453"/>
    <x v="453"/>
    <x v="3"/>
    <x v="0"/>
    <x v="2"/>
    <x v="0"/>
    <x v="4"/>
    <x v="0"/>
    <x v="4"/>
    <x v="0"/>
  </r>
  <r>
    <x v="454"/>
    <x v="454"/>
    <x v="0"/>
    <x v="0"/>
    <x v="1"/>
    <x v="0"/>
    <x v="0"/>
    <x v="0"/>
    <x v="0"/>
    <x v="0"/>
  </r>
  <r>
    <x v="455"/>
    <x v="455"/>
    <x v="1"/>
    <x v="1"/>
    <x v="5"/>
    <x v="0"/>
    <x v="4"/>
    <x v="0"/>
    <x v="4"/>
    <x v="0"/>
  </r>
  <r>
    <x v="456"/>
    <x v="456"/>
    <x v="2"/>
    <x v="2"/>
    <x v="4"/>
    <x v="1"/>
    <x v="1"/>
    <x v="0"/>
    <x v="1"/>
    <x v="1"/>
  </r>
  <r>
    <x v="457"/>
    <x v="457"/>
    <x v="5"/>
    <x v="1"/>
    <x v="5"/>
    <x v="1"/>
    <x v="1"/>
    <x v="0"/>
    <x v="1"/>
    <x v="1"/>
  </r>
  <r>
    <x v="458"/>
    <x v="458"/>
    <x v="0"/>
    <x v="2"/>
    <x v="3"/>
    <x v="0"/>
    <x v="2"/>
    <x v="0"/>
    <x v="2"/>
    <x v="0"/>
  </r>
  <r>
    <x v="459"/>
    <x v="459"/>
    <x v="2"/>
    <x v="1"/>
    <x v="4"/>
    <x v="1"/>
    <x v="1"/>
    <x v="0"/>
    <x v="1"/>
    <x v="1"/>
  </r>
  <r>
    <x v="460"/>
    <x v="460"/>
    <x v="5"/>
    <x v="1"/>
    <x v="1"/>
    <x v="1"/>
    <x v="1"/>
    <x v="0"/>
    <x v="1"/>
    <x v="1"/>
  </r>
  <r>
    <x v="461"/>
    <x v="461"/>
    <x v="4"/>
    <x v="1"/>
    <x v="6"/>
    <x v="0"/>
    <x v="2"/>
    <x v="0"/>
    <x v="2"/>
    <x v="0"/>
  </r>
  <r>
    <x v="462"/>
    <x v="462"/>
    <x v="4"/>
    <x v="2"/>
    <x v="6"/>
    <x v="1"/>
    <x v="1"/>
    <x v="0"/>
    <x v="1"/>
    <x v="1"/>
  </r>
  <r>
    <x v="463"/>
    <x v="463"/>
    <x v="2"/>
    <x v="1"/>
    <x v="6"/>
    <x v="1"/>
    <x v="1"/>
    <x v="0"/>
    <x v="1"/>
    <x v="1"/>
  </r>
  <r>
    <x v="464"/>
    <x v="464"/>
    <x v="3"/>
    <x v="0"/>
    <x v="2"/>
    <x v="1"/>
    <x v="1"/>
    <x v="0"/>
    <x v="1"/>
    <x v="1"/>
  </r>
  <r>
    <x v="465"/>
    <x v="465"/>
    <x v="5"/>
    <x v="2"/>
    <x v="0"/>
    <x v="0"/>
    <x v="2"/>
    <x v="0"/>
    <x v="2"/>
    <x v="0"/>
  </r>
  <r>
    <x v="466"/>
    <x v="466"/>
    <x v="5"/>
    <x v="2"/>
    <x v="2"/>
    <x v="1"/>
    <x v="1"/>
    <x v="0"/>
    <x v="1"/>
    <x v="1"/>
  </r>
  <r>
    <x v="467"/>
    <x v="467"/>
    <x v="1"/>
    <x v="2"/>
    <x v="0"/>
    <x v="1"/>
    <x v="1"/>
    <x v="0"/>
    <x v="1"/>
    <x v="1"/>
  </r>
  <r>
    <x v="468"/>
    <x v="468"/>
    <x v="1"/>
    <x v="2"/>
    <x v="0"/>
    <x v="0"/>
    <x v="3"/>
    <x v="0"/>
    <x v="3"/>
    <x v="0"/>
  </r>
  <r>
    <x v="469"/>
    <x v="469"/>
    <x v="5"/>
    <x v="1"/>
    <x v="5"/>
    <x v="1"/>
    <x v="1"/>
    <x v="0"/>
    <x v="1"/>
    <x v="1"/>
  </r>
  <r>
    <x v="470"/>
    <x v="470"/>
    <x v="1"/>
    <x v="1"/>
    <x v="4"/>
    <x v="0"/>
    <x v="0"/>
    <x v="0"/>
    <x v="0"/>
    <x v="0"/>
  </r>
  <r>
    <x v="471"/>
    <x v="471"/>
    <x v="5"/>
    <x v="2"/>
    <x v="7"/>
    <x v="1"/>
    <x v="1"/>
    <x v="0"/>
    <x v="1"/>
    <x v="1"/>
  </r>
  <r>
    <x v="472"/>
    <x v="472"/>
    <x v="3"/>
    <x v="0"/>
    <x v="3"/>
    <x v="1"/>
    <x v="1"/>
    <x v="0"/>
    <x v="1"/>
    <x v="1"/>
  </r>
  <r>
    <x v="473"/>
    <x v="473"/>
    <x v="2"/>
    <x v="2"/>
    <x v="4"/>
    <x v="1"/>
    <x v="1"/>
    <x v="0"/>
    <x v="1"/>
    <x v="1"/>
  </r>
  <r>
    <x v="474"/>
    <x v="474"/>
    <x v="5"/>
    <x v="1"/>
    <x v="5"/>
    <x v="1"/>
    <x v="1"/>
    <x v="0"/>
    <x v="1"/>
    <x v="1"/>
  </r>
  <r>
    <x v="475"/>
    <x v="475"/>
    <x v="4"/>
    <x v="0"/>
    <x v="3"/>
    <x v="1"/>
    <x v="1"/>
    <x v="0"/>
    <x v="1"/>
    <x v="1"/>
  </r>
  <r>
    <x v="476"/>
    <x v="476"/>
    <x v="0"/>
    <x v="1"/>
    <x v="7"/>
    <x v="1"/>
    <x v="1"/>
    <x v="0"/>
    <x v="1"/>
    <x v="1"/>
  </r>
  <r>
    <x v="477"/>
    <x v="477"/>
    <x v="2"/>
    <x v="1"/>
    <x v="3"/>
    <x v="1"/>
    <x v="1"/>
    <x v="0"/>
    <x v="1"/>
    <x v="1"/>
  </r>
  <r>
    <x v="478"/>
    <x v="478"/>
    <x v="0"/>
    <x v="1"/>
    <x v="3"/>
    <x v="0"/>
    <x v="3"/>
    <x v="0"/>
    <x v="3"/>
    <x v="0"/>
  </r>
  <r>
    <x v="479"/>
    <x v="479"/>
    <x v="3"/>
    <x v="0"/>
    <x v="3"/>
    <x v="1"/>
    <x v="1"/>
    <x v="0"/>
    <x v="1"/>
    <x v="1"/>
  </r>
  <r>
    <x v="480"/>
    <x v="480"/>
    <x v="0"/>
    <x v="2"/>
    <x v="2"/>
    <x v="1"/>
    <x v="1"/>
    <x v="0"/>
    <x v="1"/>
    <x v="1"/>
  </r>
  <r>
    <x v="481"/>
    <x v="481"/>
    <x v="1"/>
    <x v="2"/>
    <x v="5"/>
    <x v="0"/>
    <x v="0"/>
    <x v="0"/>
    <x v="0"/>
    <x v="0"/>
  </r>
  <r>
    <x v="482"/>
    <x v="482"/>
    <x v="5"/>
    <x v="1"/>
    <x v="3"/>
    <x v="1"/>
    <x v="1"/>
    <x v="0"/>
    <x v="1"/>
    <x v="1"/>
  </r>
  <r>
    <x v="483"/>
    <x v="483"/>
    <x v="4"/>
    <x v="0"/>
    <x v="5"/>
    <x v="1"/>
    <x v="1"/>
    <x v="0"/>
    <x v="1"/>
    <x v="1"/>
  </r>
  <r>
    <x v="484"/>
    <x v="484"/>
    <x v="5"/>
    <x v="1"/>
    <x v="0"/>
    <x v="1"/>
    <x v="1"/>
    <x v="0"/>
    <x v="1"/>
    <x v="1"/>
  </r>
  <r>
    <x v="485"/>
    <x v="485"/>
    <x v="5"/>
    <x v="1"/>
    <x v="6"/>
    <x v="1"/>
    <x v="1"/>
    <x v="0"/>
    <x v="1"/>
    <x v="1"/>
  </r>
  <r>
    <x v="486"/>
    <x v="486"/>
    <x v="1"/>
    <x v="2"/>
    <x v="7"/>
    <x v="0"/>
    <x v="2"/>
    <x v="0"/>
    <x v="2"/>
    <x v="0"/>
  </r>
  <r>
    <x v="487"/>
    <x v="487"/>
    <x v="0"/>
    <x v="2"/>
    <x v="1"/>
    <x v="1"/>
    <x v="1"/>
    <x v="0"/>
    <x v="1"/>
    <x v="1"/>
  </r>
  <r>
    <x v="488"/>
    <x v="488"/>
    <x v="3"/>
    <x v="1"/>
    <x v="2"/>
    <x v="0"/>
    <x v="0"/>
    <x v="0"/>
    <x v="0"/>
    <x v="0"/>
  </r>
  <r>
    <x v="489"/>
    <x v="489"/>
    <x v="4"/>
    <x v="2"/>
    <x v="7"/>
    <x v="1"/>
    <x v="1"/>
    <x v="0"/>
    <x v="1"/>
    <x v="1"/>
  </r>
  <r>
    <x v="490"/>
    <x v="490"/>
    <x v="1"/>
    <x v="0"/>
    <x v="3"/>
    <x v="0"/>
    <x v="0"/>
    <x v="0"/>
    <x v="0"/>
    <x v="0"/>
  </r>
  <r>
    <x v="491"/>
    <x v="491"/>
    <x v="5"/>
    <x v="0"/>
    <x v="5"/>
    <x v="1"/>
    <x v="1"/>
    <x v="0"/>
    <x v="1"/>
    <x v="1"/>
  </r>
  <r>
    <x v="492"/>
    <x v="492"/>
    <x v="1"/>
    <x v="0"/>
    <x v="2"/>
    <x v="0"/>
    <x v="2"/>
    <x v="0"/>
    <x v="2"/>
    <x v="0"/>
  </r>
  <r>
    <x v="493"/>
    <x v="493"/>
    <x v="1"/>
    <x v="0"/>
    <x v="2"/>
    <x v="1"/>
    <x v="1"/>
    <x v="0"/>
    <x v="1"/>
    <x v="1"/>
  </r>
  <r>
    <x v="494"/>
    <x v="494"/>
    <x v="3"/>
    <x v="0"/>
    <x v="3"/>
    <x v="1"/>
    <x v="1"/>
    <x v="0"/>
    <x v="1"/>
    <x v="1"/>
  </r>
  <r>
    <x v="495"/>
    <x v="495"/>
    <x v="3"/>
    <x v="2"/>
    <x v="4"/>
    <x v="1"/>
    <x v="1"/>
    <x v="0"/>
    <x v="1"/>
    <x v="1"/>
  </r>
  <r>
    <x v="496"/>
    <x v="496"/>
    <x v="1"/>
    <x v="2"/>
    <x v="0"/>
    <x v="1"/>
    <x v="1"/>
    <x v="0"/>
    <x v="1"/>
    <x v="1"/>
  </r>
  <r>
    <x v="497"/>
    <x v="497"/>
    <x v="0"/>
    <x v="2"/>
    <x v="7"/>
    <x v="1"/>
    <x v="1"/>
    <x v="0"/>
    <x v="1"/>
    <x v="1"/>
  </r>
  <r>
    <x v="498"/>
    <x v="498"/>
    <x v="2"/>
    <x v="2"/>
    <x v="6"/>
    <x v="0"/>
    <x v="4"/>
    <x v="0"/>
    <x v="4"/>
    <x v="0"/>
  </r>
  <r>
    <x v="499"/>
    <x v="499"/>
    <x v="2"/>
    <x v="1"/>
    <x v="4"/>
    <x v="0"/>
    <x v="2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</r>
  <r>
    <x v="2"/>
    <x v="2"/>
    <x v="2"/>
    <x v="2"/>
    <x v="2"/>
    <x v="1"/>
    <x v="1"/>
    <x v="0"/>
    <x v="1"/>
    <x v="1"/>
  </r>
  <r>
    <x v="3"/>
    <x v="3"/>
    <x v="3"/>
    <x v="2"/>
    <x v="0"/>
    <x v="1"/>
    <x v="1"/>
    <x v="0"/>
    <x v="1"/>
    <x v="1"/>
  </r>
  <r>
    <x v="4"/>
    <x v="4"/>
    <x v="2"/>
    <x v="2"/>
    <x v="3"/>
    <x v="0"/>
    <x v="0"/>
    <x v="0"/>
    <x v="0"/>
    <x v="0"/>
  </r>
  <r>
    <x v="5"/>
    <x v="5"/>
    <x v="4"/>
    <x v="1"/>
    <x v="4"/>
    <x v="1"/>
    <x v="1"/>
    <x v="0"/>
    <x v="1"/>
    <x v="1"/>
  </r>
  <r>
    <x v="6"/>
    <x v="6"/>
    <x v="1"/>
    <x v="1"/>
    <x v="5"/>
    <x v="1"/>
    <x v="1"/>
    <x v="0"/>
    <x v="1"/>
    <x v="1"/>
  </r>
  <r>
    <x v="7"/>
    <x v="7"/>
    <x v="2"/>
    <x v="0"/>
    <x v="3"/>
    <x v="0"/>
    <x v="2"/>
    <x v="0"/>
    <x v="2"/>
    <x v="0"/>
  </r>
  <r>
    <x v="8"/>
    <x v="8"/>
    <x v="0"/>
    <x v="1"/>
    <x v="3"/>
    <x v="1"/>
    <x v="1"/>
    <x v="0"/>
    <x v="1"/>
    <x v="1"/>
  </r>
  <r>
    <x v="9"/>
    <x v="9"/>
    <x v="0"/>
    <x v="0"/>
    <x v="1"/>
    <x v="1"/>
    <x v="1"/>
    <x v="0"/>
    <x v="1"/>
    <x v="1"/>
  </r>
  <r>
    <x v="10"/>
    <x v="10"/>
    <x v="5"/>
    <x v="2"/>
    <x v="6"/>
    <x v="1"/>
    <x v="1"/>
    <x v="0"/>
    <x v="1"/>
    <x v="1"/>
  </r>
  <r>
    <x v="11"/>
    <x v="11"/>
    <x v="3"/>
    <x v="2"/>
    <x v="5"/>
    <x v="1"/>
    <x v="1"/>
    <x v="0"/>
    <x v="1"/>
    <x v="1"/>
  </r>
  <r>
    <x v="12"/>
    <x v="12"/>
    <x v="5"/>
    <x v="1"/>
    <x v="6"/>
    <x v="0"/>
    <x v="3"/>
    <x v="0"/>
    <x v="3"/>
    <x v="0"/>
  </r>
  <r>
    <x v="13"/>
    <x v="13"/>
    <x v="0"/>
    <x v="1"/>
    <x v="6"/>
    <x v="1"/>
    <x v="1"/>
    <x v="0"/>
    <x v="1"/>
    <x v="1"/>
  </r>
  <r>
    <x v="14"/>
    <x v="14"/>
    <x v="2"/>
    <x v="2"/>
    <x v="5"/>
    <x v="1"/>
    <x v="1"/>
    <x v="0"/>
    <x v="1"/>
    <x v="1"/>
  </r>
  <r>
    <x v="15"/>
    <x v="15"/>
    <x v="4"/>
    <x v="1"/>
    <x v="2"/>
    <x v="1"/>
    <x v="1"/>
    <x v="0"/>
    <x v="1"/>
    <x v="1"/>
  </r>
  <r>
    <x v="16"/>
    <x v="16"/>
    <x v="0"/>
    <x v="0"/>
    <x v="1"/>
    <x v="1"/>
    <x v="1"/>
    <x v="0"/>
    <x v="1"/>
    <x v="1"/>
  </r>
  <r>
    <x v="17"/>
    <x v="17"/>
    <x v="5"/>
    <x v="0"/>
    <x v="3"/>
    <x v="1"/>
    <x v="1"/>
    <x v="0"/>
    <x v="1"/>
    <x v="1"/>
  </r>
  <r>
    <x v="18"/>
    <x v="18"/>
    <x v="3"/>
    <x v="2"/>
    <x v="1"/>
    <x v="1"/>
    <x v="1"/>
    <x v="0"/>
    <x v="1"/>
    <x v="1"/>
  </r>
  <r>
    <x v="19"/>
    <x v="19"/>
    <x v="1"/>
    <x v="2"/>
    <x v="2"/>
    <x v="1"/>
    <x v="1"/>
    <x v="0"/>
    <x v="1"/>
    <x v="1"/>
  </r>
  <r>
    <x v="20"/>
    <x v="20"/>
    <x v="4"/>
    <x v="0"/>
    <x v="0"/>
    <x v="1"/>
    <x v="1"/>
    <x v="0"/>
    <x v="1"/>
    <x v="1"/>
  </r>
  <r>
    <x v="21"/>
    <x v="21"/>
    <x v="5"/>
    <x v="1"/>
    <x v="7"/>
    <x v="1"/>
    <x v="1"/>
    <x v="0"/>
    <x v="1"/>
    <x v="1"/>
  </r>
  <r>
    <x v="22"/>
    <x v="22"/>
    <x v="1"/>
    <x v="2"/>
    <x v="4"/>
    <x v="1"/>
    <x v="1"/>
    <x v="0"/>
    <x v="1"/>
    <x v="1"/>
  </r>
  <r>
    <x v="23"/>
    <x v="23"/>
    <x v="3"/>
    <x v="2"/>
    <x v="0"/>
    <x v="1"/>
    <x v="1"/>
    <x v="0"/>
    <x v="1"/>
    <x v="1"/>
  </r>
  <r>
    <x v="24"/>
    <x v="24"/>
    <x v="4"/>
    <x v="1"/>
    <x v="6"/>
    <x v="1"/>
    <x v="1"/>
    <x v="0"/>
    <x v="1"/>
    <x v="1"/>
  </r>
  <r>
    <x v="25"/>
    <x v="25"/>
    <x v="2"/>
    <x v="1"/>
    <x v="2"/>
    <x v="1"/>
    <x v="1"/>
    <x v="0"/>
    <x v="1"/>
    <x v="1"/>
  </r>
  <r>
    <x v="26"/>
    <x v="26"/>
    <x v="3"/>
    <x v="0"/>
    <x v="1"/>
    <x v="1"/>
    <x v="1"/>
    <x v="0"/>
    <x v="1"/>
    <x v="1"/>
  </r>
  <r>
    <x v="27"/>
    <x v="27"/>
    <x v="3"/>
    <x v="1"/>
    <x v="6"/>
    <x v="1"/>
    <x v="1"/>
    <x v="0"/>
    <x v="1"/>
    <x v="1"/>
  </r>
  <r>
    <x v="28"/>
    <x v="28"/>
    <x v="1"/>
    <x v="0"/>
    <x v="6"/>
    <x v="1"/>
    <x v="1"/>
    <x v="0"/>
    <x v="1"/>
    <x v="1"/>
  </r>
  <r>
    <x v="29"/>
    <x v="29"/>
    <x v="4"/>
    <x v="1"/>
    <x v="3"/>
    <x v="1"/>
    <x v="1"/>
    <x v="0"/>
    <x v="1"/>
    <x v="1"/>
  </r>
  <r>
    <x v="30"/>
    <x v="30"/>
    <x v="3"/>
    <x v="0"/>
    <x v="5"/>
    <x v="1"/>
    <x v="1"/>
    <x v="0"/>
    <x v="1"/>
    <x v="1"/>
  </r>
  <r>
    <x v="31"/>
    <x v="31"/>
    <x v="0"/>
    <x v="0"/>
    <x v="3"/>
    <x v="1"/>
    <x v="1"/>
    <x v="0"/>
    <x v="1"/>
    <x v="1"/>
  </r>
  <r>
    <x v="32"/>
    <x v="32"/>
    <x v="3"/>
    <x v="1"/>
    <x v="5"/>
    <x v="1"/>
    <x v="1"/>
    <x v="0"/>
    <x v="1"/>
    <x v="1"/>
  </r>
  <r>
    <x v="33"/>
    <x v="33"/>
    <x v="2"/>
    <x v="2"/>
    <x v="0"/>
    <x v="1"/>
    <x v="1"/>
    <x v="0"/>
    <x v="1"/>
    <x v="1"/>
  </r>
  <r>
    <x v="34"/>
    <x v="34"/>
    <x v="3"/>
    <x v="0"/>
    <x v="0"/>
    <x v="1"/>
    <x v="1"/>
    <x v="0"/>
    <x v="1"/>
    <x v="1"/>
  </r>
  <r>
    <x v="35"/>
    <x v="35"/>
    <x v="1"/>
    <x v="2"/>
    <x v="4"/>
    <x v="0"/>
    <x v="3"/>
    <x v="0"/>
    <x v="3"/>
    <x v="0"/>
  </r>
  <r>
    <x v="36"/>
    <x v="36"/>
    <x v="0"/>
    <x v="1"/>
    <x v="0"/>
    <x v="1"/>
    <x v="1"/>
    <x v="0"/>
    <x v="1"/>
    <x v="1"/>
  </r>
  <r>
    <x v="37"/>
    <x v="37"/>
    <x v="3"/>
    <x v="1"/>
    <x v="3"/>
    <x v="1"/>
    <x v="1"/>
    <x v="0"/>
    <x v="1"/>
    <x v="1"/>
  </r>
  <r>
    <x v="38"/>
    <x v="38"/>
    <x v="1"/>
    <x v="2"/>
    <x v="0"/>
    <x v="1"/>
    <x v="1"/>
    <x v="0"/>
    <x v="1"/>
    <x v="1"/>
  </r>
  <r>
    <x v="39"/>
    <x v="39"/>
    <x v="0"/>
    <x v="1"/>
    <x v="4"/>
    <x v="0"/>
    <x v="4"/>
    <x v="0"/>
    <x v="4"/>
    <x v="0"/>
  </r>
  <r>
    <x v="40"/>
    <x v="40"/>
    <x v="4"/>
    <x v="1"/>
    <x v="4"/>
    <x v="0"/>
    <x v="4"/>
    <x v="0"/>
    <x v="4"/>
    <x v="0"/>
  </r>
  <r>
    <x v="41"/>
    <x v="41"/>
    <x v="4"/>
    <x v="1"/>
    <x v="4"/>
    <x v="0"/>
    <x v="4"/>
    <x v="0"/>
    <x v="4"/>
    <x v="0"/>
  </r>
  <r>
    <x v="42"/>
    <x v="42"/>
    <x v="1"/>
    <x v="2"/>
    <x v="2"/>
    <x v="1"/>
    <x v="1"/>
    <x v="0"/>
    <x v="1"/>
    <x v="1"/>
  </r>
  <r>
    <x v="43"/>
    <x v="43"/>
    <x v="0"/>
    <x v="1"/>
    <x v="2"/>
    <x v="1"/>
    <x v="1"/>
    <x v="0"/>
    <x v="1"/>
    <x v="1"/>
  </r>
  <r>
    <x v="44"/>
    <x v="44"/>
    <x v="4"/>
    <x v="2"/>
    <x v="4"/>
    <x v="1"/>
    <x v="1"/>
    <x v="0"/>
    <x v="1"/>
    <x v="1"/>
  </r>
  <r>
    <x v="45"/>
    <x v="45"/>
    <x v="0"/>
    <x v="1"/>
    <x v="3"/>
    <x v="1"/>
    <x v="1"/>
    <x v="0"/>
    <x v="1"/>
    <x v="1"/>
  </r>
  <r>
    <x v="46"/>
    <x v="46"/>
    <x v="2"/>
    <x v="0"/>
    <x v="4"/>
    <x v="1"/>
    <x v="1"/>
    <x v="0"/>
    <x v="1"/>
    <x v="1"/>
  </r>
  <r>
    <x v="47"/>
    <x v="47"/>
    <x v="4"/>
    <x v="1"/>
    <x v="2"/>
    <x v="1"/>
    <x v="1"/>
    <x v="0"/>
    <x v="1"/>
    <x v="1"/>
  </r>
  <r>
    <x v="48"/>
    <x v="48"/>
    <x v="2"/>
    <x v="2"/>
    <x v="7"/>
    <x v="2"/>
    <x v="5"/>
    <x v="1"/>
    <x v="2"/>
    <x v="0"/>
  </r>
  <r>
    <x v="49"/>
    <x v="49"/>
    <x v="3"/>
    <x v="0"/>
    <x v="3"/>
    <x v="1"/>
    <x v="1"/>
    <x v="0"/>
    <x v="1"/>
    <x v="1"/>
  </r>
  <r>
    <x v="50"/>
    <x v="50"/>
    <x v="4"/>
    <x v="2"/>
    <x v="2"/>
    <x v="1"/>
    <x v="1"/>
    <x v="0"/>
    <x v="1"/>
    <x v="1"/>
  </r>
  <r>
    <x v="51"/>
    <x v="51"/>
    <x v="1"/>
    <x v="1"/>
    <x v="0"/>
    <x v="1"/>
    <x v="1"/>
    <x v="0"/>
    <x v="1"/>
    <x v="1"/>
  </r>
  <r>
    <x v="52"/>
    <x v="52"/>
    <x v="1"/>
    <x v="0"/>
    <x v="1"/>
    <x v="1"/>
    <x v="1"/>
    <x v="0"/>
    <x v="1"/>
    <x v="1"/>
  </r>
  <r>
    <x v="53"/>
    <x v="53"/>
    <x v="4"/>
    <x v="2"/>
    <x v="4"/>
    <x v="1"/>
    <x v="1"/>
    <x v="0"/>
    <x v="1"/>
    <x v="1"/>
  </r>
  <r>
    <x v="54"/>
    <x v="54"/>
    <x v="4"/>
    <x v="2"/>
    <x v="5"/>
    <x v="1"/>
    <x v="1"/>
    <x v="0"/>
    <x v="1"/>
    <x v="1"/>
  </r>
  <r>
    <x v="55"/>
    <x v="55"/>
    <x v="1"/>
    <x v="0"/>
    <x v="0"/>
    <x v="0"/>
    <x v="2"/>
    <x v="0"/>
    <x v="2"/>
    <x v="0"/>
  </r>
  <r>
    <x v="56"/>
    <x v="56"/>
    <x v="4"/>
    <x v="1"/>
    <x v="5"/>
    <x v="0"/>
    <x v="0"/>
    <x v="0"/>
    <x v="0"/>
    <x v="0"/>
  </r>
  <r>
    <x v="57"/>
    <x v="57"/>
    <x v="2"/>
    <x v="0"/>
    <x v="4"/>
    <x v="0"/>
    <x v="4"/>
    <x v="0"/>
    <x v="4"/>
    <x v="0"/>
  </r>
  <r>
    <x v="58"/>
    <x v="58"/>
    <x v="1"/>
    <x v="2"/>
    <x v="5"/>
    <x v="1"/>
    <x v="1"/>
    <x v="0"/>
    <x v="1"/>
    <x v="1"/>
  </r>
  <r>
    <x v="59"/>
    <x v="59"/>
    <x v="1"/>
    <x v="0"/>
    <x v="0"/>
    <x v="1"/>
    <x v="1"/>
    <x v="0"/>
    <x v="1"/>
    <x v="1"/>
  </r>
  <r>
    <x v="60"/>
    <x v="60"/>
    <x v="5"/>
    <x v="1"/>
    <x v="4"/>
    <x v="1"/>
    <x v="1"/>
    <x v="0"/>
    <x v="1"/>
    <x v="1"/>
  </r>
  <r>
    <x v="61"/>
    <x v="61"/>
    <x v="2"/>
    <x v="0"/>
    <x v="0"/>
    <x v="1"/>
    <x v="1"/>
    <x v="0"/>
    <x v="1"/>
    <x v="1"/>
  </r>
  <r>
    <x v="62"/>
    <x v="62"/>
    <x v="0"/>
    <x v="1"/>
    <x v="7"/>
    <x v="1"/>
    <x v="1"/>
    <x v="0"/>
    <x v="1"/>
    <x v="1"/>
  </r>
  <r>
    <x v="63"/>
    <x v="63"/>
    <x v="3"/>
    <x v="2"/>
    <x v="4"/>
    <x v="1"/>
    <x v="1"/>
    <x v="0"/>
    <x v="1"/>
    <x v="1"/>
  </r>
  <r>
    <x v="64"/>
    <x v="64"/>
    <x v="2"/>
    <x v="2"/>
    <x v="0"/>
    <x v="0"/>
    <x v="2"/>
    <x v="0"/>
    <x v="2"/>
    <x v="0"/>
  </r>
  <r>
    <x v="65"/>
    <x v="65"/>
    <x v="3"/>
    <x v="0"/>
    <x v="0"/>
    <x v="0"/>
    <x v="0"/>
    <x v="0"/>
    <x v="0"/>
    <x v="0"/>
  </r>
  <r>
    <x v="66"/>
    <x v="66"/>
    <x v="2"/>
    <x v="1"/>
    <x v="4"/>
    <x v="0"/>
    <x v="4"/>
    <x v="0"/>
    <x v="4"/>
    <x v="0"/>
  </r>
  <r>
    <x v="67"/>
    <x v="67"/>
    <x v="5"/>
    <x v="2"/>
    <x v="4"/>
    <x v="1"/>
    <x v="1"/>
    <x v="0"/>
    <x v="1"/>
    <x v="1"/>
  </r>
  <r>
    <x v="68"/>
    <x v="68"/>
    <x v="0"/>
    <x v="2"/>
    <x v="4"/>
    <x v="0"/>
    <x v="4"/>
    <x v="0"/>
    <x v="4"/>
    <x v="0"/>
  </r>
  <r>
    <x v="69"/>
    <x v="69"/>
    <x v="0"/>
    <x v="1"/>
    <x v="6"/>
    <x v="2"/>
    <x v="6"/>
    <x v="0"/>
    <x v="5"/>
    <x v="0"/>
  </r>
  <r>
    <x v="70"/>
    <x v="70"/>
    <x v="5"/>
    <x v="0"/>
    <x v="3"/>
    <x v="1"/>
    <x v="1"/>
    <x v="0"/>
    <x v="1"/>
    <x v="1"/>
  </r>
  <r>
    <x v="71"/>
    <x v="71"/>
    <x v="0"/>
    <x v="0"/>
    <x v="5"/>
    <x v="1"/>
    <x v="1"/>
    <x v="0"/>
    <x v="1"/>
    <x v="1"/>
  </r>
  <r>
    <x v="72"/>
    <x v="72"/>
    <x v="1"/>
    <x v="1"/>
    <x v="3"/>
    <x v="1"/>
    <x v="1"/>
    <x v="0"/>
    <x v="1"/>
    <x v="1"/>
  </r>
  <r>
    <x v="73"/>
    <x v="73"/>
    <x v="1"/>
    <x v="0"/>
    <x v="5"/>
    <x v="1"/>
    <x v="1"/>
    <x v="0"/>
    <x v="1"/>
    <x v="1"/>
  </r>
  <r>
    <x v="74"/>
    <x v="74"/>
    <x v="4"/>
    <x v="2"/>
    <x v="0"/>
    <x v="1"/>
    <x v="1"/>
    <x v="0"/>
    <x v="1"/>
    <x v="1"/>
  </r>
  <r>
    <x v="75"/>
    <x v="75"/>
    <x v="3"/>
    <x v="1"/>
    <x v="6"/>
    <x v="0"/>
    <x v="7"/>
    <x v="0"/>
    <x v="6"/>
    <x v="0"/>
  </r>
  <r>
    <x v="76"/>
    <x v="76"/>
    <x v="1"/>
    <x v="1"/>
    <x v="2"/>
    <x v="1"/>
    <x v="1"/>
    <x v="0"/>
    <x v="1"/>
    <x v="1"/>
  </r>
  <r>
    <x v="77"/>
    <x v="77"/>
    <x v="0"/>
    <x v="2"/>
    <x v="2"/>
    <x v="1"/>
    <x v="1"/>
    <x v="0"/>
    <x v="1"/>
    <x v="1"/>
  </r>
  <r>
    <x v="78"/>
    <x v="78"/>
    <x v="1"/>
    <x v="0"/>
    <x v="7"/>
    <x v="1"/>
    <x v="1"/>
    <x v="0"/>
    <x v="1"/>
    <x v="1"/>
  </r>
  <r>
    <x v="79"/>
    <x v="79"/>
    <x v="1"/>
    <x v="2"/>
    <x v="7"/>
    <x v="1"/>
    <x v="1"/>
    <x v="0"/>
    <x v="1"/>
    <x v="1"/>
  </r>
  <r>
    <x v="80"/>
    <x v="80"/>
    <x v="5"/>
    <x v="0"/>
    <x v="3"/>
    <x v="1"/>
    <x v="1"/>
    <x v="0"/>
    <x v="1"/>
    <x v="1"/>
  </r>
  <r>
    <x v="81"/>
    <x v="81"/>
    <x v="2"/>
    <x v="2"/>
    <x v="5"/>
    <x v="1"/>
    <x v="1"/>
    <x v="0"/>
    <x v="1"/>
    <x v="1"/>
  </r>
  <r>
    <x v="82"/>
    <x v="82"/>
    <x v="2"/>
    <x v="0"/>
    <x v="5"/>
    <x v="1"/>
    <x v="1"/>
    <x v="0"/>
    <x v="1"/>
    <x v="1"/>
  </r>
  <r>
    <x v="83"/>
    <x v="83"/>
    <x v="0"/>
    <x v="1"/>
    <x v="3"/>
    <x v="1"/>
    <x v="1"/>
    <x v="0"/>
    <x v="1"/>
    <x v="1"/>
  </r>
  <r>
    <x v="84"/>
    <x v="84"/>
    <x v="2"/>
    <x v="1"/>
    <x v="4"/>
    <x v="1"/>
    <x v="1"/>
    <x v="0"/>
    <x v="1"/>
    <x v="1"/>
  </r>
  <r>
    <x v="85"/>
    <x v="85"/>
    <x v="0"/>
    <x v="2"/>
    <x v="5"/>
    <x v="1"/>
    <x v="1"/>
    <x v="0"/>
    <x v="1"/>
    <x v="1"/>
  </r>
  <r>
    <x v="86"/>
    <x v="86"/>
    <x v="5"/>
    <x v="2"/>
    <x v="5"/>
    <x v="1"/>
    <x v="1"/>
    <x v="0"/>
    <x v="1"/>
    <x v="1"/>
  </r>
  <r>
    <x v="87"/>
    <x v="87"/>
    <x v="2"/>
    <x v="1"/>
    <x v="6"/>
    <x v="1"/>
    <x v="1"/>
    <x v="0"/>
    <x v="1"/>
    <x v="1"/>
  </r>
  <r>
    <x v="88"/>
    <x v="88"/>
    <x v="4"/>
    <x v="0"/>
    <x v="5"/>
    <x v="1"/>
    <x v="1"/>
    <x v="0"/>
    <x v="1"/>
    <x v="1"/>
  </r>
  <r>
    <x v="89"/>
    <x v="89"/>
    <x v="2"/>
    <x v="2"/>
    <x v="6"/>
    <x v="1"/>
    <x v="1"/>
    <x v="0"/>
    <x v="1"/>
    <x v="1"/>
  </r>
  <r>
    <x v="90"/>
    <x v="90"/>
    <x v="4"/>
    <x v="2"/>
    <x v="3"/>
    <x v="0"/>
    <x v="0"/>
    <x v="0"/>
    <x v="0"/>
    <x v="0"/>
  </r>
  <r>
    <x v="91"/>
    <x v="91"/>
    <x v="2"/>
    <x v="0"/>
    <x v="6"/>
    <x v="1"/>
    <x v="1"/>
    <x v="0"/>
    <x v="1"/>
    <x v="1"/>
  </r>
  <r>
    <x v="92"/>
    <x v="92"/>
    <x v="1"/>
    <x v="1"/>
    <x v="6"/>
    <x v="1"/>
    <x v="1"/>
    <x v="0"/>
    <x v="1"/>
    <x v="1"/>
  </r>
  <r>
    <x v="93"/>
    <x v="93"/>
    <x v="3"/>
    <x v="0"/>
    <x v="7"/>
    <x v="1"/>
    <x v="1"/>
    <x v="0"/>
    <x v="1"/>
    <x v="1"/>
  </r>
  <r>
    <x v="94"/>
    <x v="94"/>
    <x v="1"/>
    <x v="0"/>
    <x v="3"/>
    <x v="1"/>
    <x v="1"/>
    <x v="0"/>
    <x v="1"/>
    <x v="1"/>
  </r>
  <r>
    <x v="95"/>
    <x v="95"/>
    <x v="3"/>
    <x v="1"/>
    <x v="3"/>
    <x v="1"/>
    <x v="1"/>
    <x v="0"/>
    <x v="1"/>
    <x v="1"/>
  </r>
  <r>
    <x v="96"/>
    <x v="96"/>
    <x v="0"/>
    <x v="2"/>
    <x v="4"/>
    <x v="1"/>
    <x v="1"/>
    <x v="0"/>
    <x v="1"/>
    <x v="1"/>
  </r>
  <r>
    <x v="97"/>
    <x v="97"/>
    <x v="3"/>
    <x v="0"/>
    <x v="1"/>
    <x v="1"/>
    <x v="1"/>
    <x v="0"/>
    <x v="1"/>
    <x v="1"/>
  </r>
  <r>
    <x v="98"/>
    <x v="98"/>
    <x v="3"/>
    <x v="1"/>
    <x v="1"/>
    <x v="0"/>
    <x v="0"/>
    <x v="0"/>
    <x v="0"/>
    <x v="0"/>
  </r>
  <r>
    <x v="99"/>
    <x v="99"/>
    <x v="1"/>
    <x v="1"/>
    <x v="1"/>
    <x v="1"/>
    <x v="1"/>
    <x v="0"/>
    <x v="1"/>
    <x v="1"/>
  </r>
  <r>
    <x v="100"/>
    <x v="100"/>
    <x v="3"/>
    <x v="2"/>
    <x v="5"/>
    <x v="1"/>
    <x v="1"/>
    <x v="0"/>
    <x v="1"/>
    <x v="1"/>
  </r>
  <r>
    <x v="101"/>
    <x v="101"/>
    <x v="1"/>
    <x v="1"/>
    <x v="4"/>
    <x v="1"/>
    <x v="1"/>
    <x v="0"/>
    <x v="1"/>
    <x v="1"/>
  </r>
  <r>
    <x v="102"/>
    <x v="102"/>
    <x v="0"/>
    <x v="2"/>
    <x v="5"/>
    <x v="1"/>
    <x v="1"/>
    <x v="0"/>
    <x v="1"/>
    <x v="1"/>
  </r>
  <r>
    <x v="103"/>
    <x v="103"/>
    <x v="0"/>
    <x v="0"/>
    <x v="4"/>
    <x v="0"/>
    <x v="4"/>
    <x v="0"/>
    <x v="4"/>
    <x v="0"/>
  </r>
  <r>
    <x v="104"/>
    <x v="104"/>
    <x v="2"/>
    <x v="1"/>
    <x v="1"/>
    <x v="1"/>
    <x v="1"/>
    <x v="0"/>
    <x v="1"/>
    <x v="1"/>
  </r>
  <r>
    <x v="105"/>
    <x v="105"/>
    <x v="4"/>
    <x v="2"/>
    <x v="2"/>
    <x v="0"/>
    <x v="0"/>
    <x v="0"/>
    <x v="0"/>
    <x v="0"/>
  </r>
  <r>
    <x v="106"/>
    <x v="106"/>
    <x v="5"/>
    <x v="1"/>
    <x v="2"/>
    <x v="0"/>
    <x v="4"/>
    <x v="0"/>
    <x v="4"/>
    <x v="0"/>
  </r>
  <r>
    <x v="107"/>
    <x v="107"/>
    <x v="0"/>
    <x v="1"/>
    <x v="7"/>
    <x v="1"/>
    <x v="1"/>
    <x v="0"/>
    <x v="1"/>
    <x v="1"/>
  </r>
  <r>
    <x v="108"/>
    <x v="108"/>
    <x v="0"/>
    <x v="0"/>
    <x v="5"/>
    <x v="0"/>
    <x v="2"/>
    <x v="0"/>
    <x v="2"/>
    <x v="0"/>
  </r>
  <r>
    <x v="109"/>
    <x v="109"/>
    <x v="5"/>
    <x v="0"/>
    <x v="1"/>
    <x v="0"/>
    <x v="3"/>
    <x v="0"/>
    <x v="3"/>
    <x v="0"/>
  </r>
  <r>
    <x v="110"/>
    <x v="110"/>
    <x v="4"/>
    <x v="2"/>
    <x v="1"/>
    <x v="1"/>
    <x v="1"/>
    <x v="0"/>
    <x v="1"/>
    <x v="1"/>
  </r>
  <r>
    <x v="111"/>
    <x v="111"/>
    <x v="3"/>
    <x v="2"/>
    <x v="1"/>
    <x v="1"/>
    <x v="1"/>
    <x v="0"/>
    <x v="1"/>
    <x v="1"/>
  </r>
  <r>
    <x v="112"/>
    <x v="112"/>
    <x v="1"/>
    <x v="2"/>
    <x v="7"/>
    <x v="1"/>
    <x v="1"/>
    <x v="0"/>
    <x v="1"/>
    <x v="1"/>
  </r>
  <r>
    <x v="113"/>
    <x v="113"/>
    <x v="0"/>
    <x v="1"/>
    <x v="7"/>
    <x v="1"/>
    <x v="1"/>
    <x v="0"/>
    <x v="1"/>
    <x v="1"/>
  </r>
  <r>
    <x v="114"/>
    <x v="114"/>
    <x v="3"/>
    <x v="1"/>
    <x v="0"/>
    <x v="0"/>
    <x v="0"/>
    <x v="0"/>
    <x v="0"/>
    <x v="0"/>
  </r>
  <r>
    <x v="115"/>
    <x v="115"/>
    <x v="1"/>
    <x v="2"/>
    <x v="3"/>
    <x v="1"/>
    <x v="1"/>
    <x v="0"/>
    <x v="1"/>
    <x v="1"/>
  </r>
  <r>
    <x v="116"/>
    <x v="116"/>
    <x v="0"/>
    <x v="0"/>
    <x v="4"/>
    <x v="0"/>
    <x v="0"/>
    <x v="0"/>
    <x v="0"/>
    <x v="0"/>
  </r>
  <r>
    <x v="117"/>
    <x v="117"/>
    <x v="1"/>
    <x v="2"/>
    <x v="5"/>
    <x v="0"/>
    <x v="0"/>
    <x v="0"/>
    <x v="0"/>
    <x v="0"/>
  </r>
  <r>
    <x v="118"/>
    <x v="118"/>
    <x v="5"/>
    <x v="2"/>
    <x v="4"/>
    <x v="1"/>
    <x v="1"/>
    <x v="0"/>
    <x v="1"/>
    <x v="1"/>
  </r>
  <r>
    <x v="119"/>
    <x v="119"/>
    <x v="4"/>
    <x v="1"/>
    <x v="3"/>
    <x v="1"/>
    <x v="1"/>
    <x v="0"/>
    <x v="1"/>
    <x v="1"/>
  </r>
  <r>
    <x v="120"/>
    <x v="120"/>
    <x v="3"/>
    <x v="1"/>
    <x v="6"/>
    <x v="1"/>
    <x v="1"/>
    <x v="0"/>
    <x v="1"/>
    <x v="1"/>
  </r>
  <r>
    <x v="121"/>
    <x v="121"/>
    <x v="1"/>
    <x v="2"/>
    <x v="3"/>
    <x v="1"/>
    <x v="1"/>
    <x v="0"/>
    <x v="1"/>
    <x v="1"/>
  </r>
  <r>
    <x v="122"/>
    <x v="122"/>
    <x v="5"/>
    <x v="2"/>
    <x v="0"/>
    <x v="0"/>
    <x v="8"/>
    <x v="0"/>
    <x v="7"/>
    <x v="0"/>
  </r>
  <r>
    <x v="123"/>
    <x v="123"/>
    <x v="1"/>
    <x v="2"/>
    <x v="5"/>
    <x v="1"/>
    <x v="1"/>
    <x v="0"/>
    <x v="1"/>
    <x v="1"/>
  </r>
  <r>
    <x v="124"/>
    <x v="124"/>
    <x v="3"/>
    <x v="2"/>
    <x v="2"/>
    <x v="1"/>
    <x v="1"/>
    <x v="0"/>
    <x v="1"/>
    <x v="1"/>
  </r>
  <r>
    <x v="125"/>
    <x v="125"/>
    <x v="0"/>
    <x v="0"/>
    <x v="5"/>
    <x v="0"/>
    <x v="4"/>
    <x v="0"/>
    <x v="4"/>
    <x v="0"/>
  </r>
  <r>
    <x v="126"/>
    <x v="126"/>
    <x v="2"/>
    <x v="0"/>
    <x v="0"/>
    <x v="1"/>
    <x v="1"/>
    <x v="0"/>
    <x v="1"/>
    <x v="1"/>
  </r>
  <r>
    <x v="127"/>
    <x v="127"/>
    <x v="5"/>
    <x v="2"/>
    <x v="0"/>
    <x v="1"/>
    <x v="1"/>
    <x v="0"/>
    <x v="1"/>
    <x v="1"/>
  </r>
  <r>
    <x v="128"/>
    <x v="128"/>
    <x v="3"/>
    <x v="2"/>
    <x v="7"/>
    <x v="1"/>
    <x v="1"/>
    <x v="0"/>
    <x v="1"/>
    <x v="1"/>
  </r>
  <r>
    <x v="129"/>
    <x v="129"/>
    <x v="4"/>
    <x v="1"/>
    <x v="2"/>
    <x v="1"/>
    <x v="1"/>
    <x v="0"/>
    <x v="1"/>
    <x v="1"/>
  </r>
  <r>
    <x v="130"/>
    <x v="130"/>
    <x v="0"/>
    <x v="0"/>
    <x v="1"/>
    <x v="1"/>
    <x v="1"/>
    <x v="0"/>
    <x v="1"/>
    <x v="1"/>
  </r>
  <r>
    <x v="131"/>
    <x v="131"/>
    <x v="1"/>
    <x v="0"/>
    <x v="7"/>
    <x v="1"/>
    <x v="1"/>
    <x v="0"/>
    <x v="1"/>
    <x v="1"/>
  </r>
  <r>
    <x v="132"/>
    <x v="132"/>
    <x v="2"/>
    <x v="1"/>
    <x v="1"/>
    <x v="1"/>
    <x v="1"/>
    <x v="0"/>
    <x v="1"/>
    <x v="1"/>
  </r>
  <r>
    <x v="133"/>
    <x v="133"/>
    <x v="4"/>
    <x v="2"/>
    <x v="3"/>
    <x v="1"/>
    <x v="1"/>
    <x v="0"/>
    <x v="1"/>
    <x v="1"/>
  </r>
  <r>
    <x v="134"/>
    <x v="134"/>
    <x v="4"/>
    <x v="1"/>
    <x v="4"/>
    <x v="0"/>
    <x v="4"/>
    <x v="0"/>
    <x v="4"/>
    <x v="0"/>
  </r>
  <r>
    <x v="135"/>
    <x v="135"/>
    <x v="1"/>
    <x v="2"/>
    <x v="3"/>
    <x v="1"/>
    <x v="1"/>
    <x v="0"/>
    <x v="1"/>
    <x v="1"/>
  </r>
  <r>
    <x v="136"/>
    <x v="136"/>
    <x v="1"/>
    <x v="1"/>
    <x v="4"/>
    <x v="1"/>
    <x v="1"/>
    <x v="0"/>
    <x v="1"/>
    <x v="1"/>
  </r>
  <r>
    <x v="137"/>
    <x v="137"/>
    <x v="3"/>
    <x v="2"/>
    <x v="3"/>
    <x v="1"/>
    <x v="1"/>
    <x v="0"/>
    <x v="1"/>
    <x v="1"/>
  </r>
  <r>
    <x v="138"/>
    <x v="138"/>
    <x v="2"/>
    <x v="1"/>
    <x v="2"/>
    <x v="1"/>
    <x v="1"/>
    <x v="0"/>
    <x v="1"/>
    <x v="1"/>
  </r>
  <r>
    <x v="139"/>
    <x v="139"/>
    <x v="2"/>
    <x v="1"/>
    <x v="7"/>
    <x v="1"/>
    <x v="1"/>
    <x v="0"/>
    <x v="1"/>
    <x v="1"/>
  </r>
  <r>
    <x v="140"/>
    <x v="140"/>
    <x v="4"/>
    <x v="0"/>
    <x v="6"/>
    <x v="1"/>
    <x v="1"/>
    <x v="0"/>
    <x v="1"/>
    <x v="1"/>
  </r>
  <r>
    <x v="141"/>
    <x v="141"/>
    <x v="1"/>
    <x v="2"/>
    <x v="5"/>
    <x v="0"/>
    <x v="4"/>
    <x v="0"/>
    <x v="4"/>
    <x v="0"/>
  </r>
  <r>
    <x v="142"/>
    <x v="142"/>
    <x v="2"/>
    <x v="0"/>
    <x v="1"/>
    <x v="1"/>
    <x v="1"/>
    <x v="0"/>
    <x v="1"/>
    <x v="1"/>
  </r>
  <r>
    <x v="143"/>
    <x v="143"/>
    <x v="2"/>
    <x v="1"/>
    <x v="5"/>
    <x v="1"/>
    <x v="1"/>
    <x v="0"/>
    <x v="1"/>
    <x v="1"/>
  </r>
  <r>
    <x v="144"/>
    <x v="144"/>
    <x v="5"/>
    <x v="2"/>
    <x v="0"/>
    <x v="1"/>
    <x v="1"/>
    <x v="0"/>
    <x v="1"/>
    <x v="1"/>
  </r>
  <r>
    <x v="145"/>
    <x v="145"/>
    <x v="3"/>
    <x v="1"/>
    <x v="6"/>
    <x v="1"/>
    <x v="1"/>
    <x v="0"/>
    <x v="1"/>
    <x v="1"/>
  </r>
  <r>
    <x v="146"/>
    <x v="146"/>
    <x v="4"/>
    <x v="0"/>
    <x v="5"/>
    <x v="1"/>
    <x v="1"/>
    <x v="0"/>
    <x v="1"/>
    <x v="1"/>
  </r>
  <r>
    <x v="147"/>
    <x v="147"/>
    <x v="3"/>
    <x v="2"/>
    <x v="2"/>
    <x v="0"/>
    <x v="0"/>
    <x v="0"/>
    <x v="0"/>
    <x v="0"/>
  </r>
  <r>
    <x v="148"/>
    <x v="148"/>
    <x v="4"/>
    <x v="2"/>
    <x v="2"/>
    <x v="1"/>
    <x v="1"/>
    <x v="0"/>
    <x v="1"/>
    <x v="1"/>
  </r>
  <r>
    <x v="149"/>
    <x v="149"/>
    <x v="0"/>
    <x v="1"/>
    <x v="0"/>
    <x v="1"/>
    <x v="1"/>
    <x v="0"/>
    <x v="1"/>
    <x v="1"/>
  </r>
  <r>
    <x v="150"/>
    <x v="150"/>
    <x v="2"/>
    <x v="0"/>
    <x v="0"/>
    <x v="1"/>
    <x v="1"/>
    <x v="0"/>
    <x v="1"/>
    <x v="1"/>
  </r>
  <r>
    <x v="151"/>
    <x v="151"/>
    <x v="5"/>
    <x v="2"/>
    <x v="5"/>
    <x v="0"/>
    <x v="0"/>
    <x v="0"/>
    <x v="0"/>
    <x v="0"/>
  </r>
  <r>
    <x v="152"/>
    <x v="152"/>
    <x v="1"/>
    <x v="0"/>
    <x v="4"/>
    <x v="1"/>
    <x v="1"/>
    <x v="0"/>
    <x v="1"/>
    <x v="1"/>
  </r>
  <r>
    <x v="153"/>
    <x v="153"/>
    <x v="0"/>
    <x v="1"/>
    <x v="5"/>
    <x v="1"/>
    <x v="1"/>
    <x v="0"/>
    <x v="1"/>
    <x v="1"/>
  </r>
  <r>
    <x v="154"/>
    <x v="154"/>
    <x v="0"/>
    <x v="0"/>
    <x v="5"/>
    <x v="1"/>
    <x v="1"/>
    <x v="0"/>
    <x v="1"/>
    <x v="1"/>
  </r>
  <r>
    <x v="155"/>
    <x v="155"/>
    <x v="4"/>
    <x v="0"/>
    <x v="4"/>
    <x v="0"/>
    <x v="0"/>
    <x v="0"/>
    <x v="0"/>
    <x v="0"/>
  </r>
  <r>
    <x v="156"/>
    <x v="156"/>
    <x v="4"/>
    <x v="0"/>
    <x v="7"/>
    <x v="1"/>
    <x v="1"/>
    <x v="0"/>
    <x v="1"/>
    <x v="1"/>
  </r>
  <r>
    <x v="157"/>
    <x v="157"/>
    <x v="2"/>
    <x v="1"/>
    <x v="2"/>
    <x v="1"/>
    <x v="1"/>
    <x v="0"/>
    <x v="1"/>
    <x v="1"/>
  </r>
  <r>
    <x v="158"/>
    <x v="158"/>
    <x v="1"/>
    <x v="0"/>
    <x v="2"/>
    <x v="1"/>
    <x v="1"/>
    <x v="0"/>
    <x v="1"/>
    <x v="1"/>
  </r>
  <r>
    <x v="159"/>
    <x v="159"/>
    <x v="2"/>
    <x v="2"/>
    <x v="7"/>
    <x v="1"/>
    <x v="1"/>
    <x v="0"/>
    <x v="1"/>
    <x v="1"/>
  </r>
  <r>
    <x v="160"/>
    <x v="160"/>
    <x v="1"/>
    <x v="2"/>
    <x v="2"/>
    <x v="0"/>
    <x v="0"/>
    <x v="0"/>
    <x v="0"/>
    <x v="0"/>
  </r>
  <r>
    <x v="161"/>
    <x v="161"/>
    <x v="1"/>
    <x v="2"/>
    <x v="5"/>
    <x v="0"/>
    <x v="4"/>
    <x v="0"/>
    <x v="4"/>
    <x v="0"/>
  </r>
  <r>
    <x v="162"/>
    <x v="162"/>
    <x v="0"/>
    <x v="0"/>
    <x v="6"/>
    <x v="0"/>
    <x v="4"/>
    <x v="0"/>
    <x v="4"/>
    <x v="0"/>
  </r>
  <r>
    <x v="163"/>
    <x v="163"/>
    <x v="4"/>
    <x v="2"/>
    <x v="7"/>
    <x v="1"/>
    <x v="1"/>
    <x v="0"/>
    <x v="1"/>
    <x v="1"/>
  </r>
  <r>
    <x v="164"/>
    <x v="164"/>
    <x v="1"/>
    <x v="1"/>
    <x v="7"/>
    <x v="0"/>
    <x v="0"/>
    <x v="0"/>
    <x v="0"/>
    <x v="0"/>
  </r>
  <r>
    <x v="165"/>
    <x v="165"/>
    <x v="0"/>
    <x v="1"/>
    <x v="2"/>
    <x v="1"/>
    <x v="1"/>
    <x v="0"/>
    <x v="1"/>
    <x v="1"/>
  </r>
  <r>
    <x v="166"/>
    <x v="166"/>
    <x v="4"/>
    <x v="0"/>
    <x v="2"/>
    <x v="1"/>
    <x v="1"/>
    <x v="0"/>
    <x v="1"/>
    <x v="1"/>
  </r>
  <r>
    <x v="167"/>
    <x v="167"/>
    <x v="5"/>
    <x v="2"/>
    <x v="1"/>
    <x v="1"/>
    <x v="1"/>
    <x v="0"/>
    <x v="1"/>
    <x v="1"/>
  </r>
  <r>
    <x v="168"/>
    <x v="168"/>
    <x v="3"/>
    <x v="2"/>
    <x v="3"/>
    <x v="1"/>
    <x v="1"/>
    <x v="0"/>
    <x v="1"/>
    <x v="1"/>
  </r>
  <r>
    <x v="169"/>
    <x v="169"/>
    <x v="3"/>
    <x v="2"/>
    <x v="3"/>
    <x v="1"/>
    <x v="1"/>
    <x v="0"/>
    <x v="1"/>
    <x v="1"/>
  </r>
  <r>
    <x v="170"/>
    <x v="170"/>
    <x v="1"/>
    <x v="0"/>
    <x v="6"/>
    <x v="1"/>
    <x v="1"/>
    <x v="0"/>
    <x v="1"/>
    <x v="1"/>
  </r>
  <r>
    <x v="171"/>
    <x v="171"/>
    <x v="3"/>
    <x v="1"/>
    <x v="0"/>
    <x v="1"/>
    <x v="1"/>
    <x v="0"/>
    <x v="1"/>
    <x v="1"/>
  </r>
  <r>
    <x v="172"/>
    <x v="172"/>
    <x v="2"/>
    <x v="1"/>
    <x v="3"/>
    <x v="1"/>
    <x v="1"/>
    <x v="0"/>
    <x v="1"/>
    <x v="1"/>
  </r>
  <r>
    <x v="173"/>
    <x v="173"/>
    <x v="0"/>
    <x v="2"/>
    <x v="2"/>
    <x v="1"/>
    <x v="1"/>
    <x v="0"/>
    <x v="1"/>
    <x v="1"/>
  </r>
  <r>
    <x v="174"/>
    <x v="174"/>
    <x v="3"/>
    <x v="1"/>
    <x v="5"/>
    <x v="0"/>
    <x v="4"/>
    <x v="0"/>
    <x v="4"/>
    <x v="0"/>
  </r>
  <r>
    <x v="175"/>
    <x v="175"/>
    <x v="0"/>
    <x v="0"/>
    <x v="5"/>
    <x v="0"/>
    <x v="4"/>
    <x v="0"/>
    <x v="4"/>
    <x v="0"/>
  </r>
  <r>
    <x v="176"/>
    <x v="176"/>
    <x v="1"/>
    <x v="2"/>
    <x v="2"/>
    <x v="1"/>
    <x v="1"/>
    <x v="0"/>
    <x v="1"/>
    <x v="1"/>
  </r>
  <r>
    <x v="177"/>
    <x v="177"/>
    <x v="4"/>
    <x v="1"/>
    <x v="5"/>
    <x v="0"/>
    <x v="2"/>
    <x v="0"/>
    <x v="2"/>
    <x v="0"/>
  </r>
  <r>
    <x v="178"/>
    <x v="178"/>
    <x v="3"/>
    <x v="1"/>
    <x v="5"/>
    <x v="0"/>
    <x v="4"/>
    <x v="0"/>
    <x v="4"/>
    <x v="0"/>
  </r>
  <r>
    <x v="179"/>
    <x v="179"/>
    <x v="2"/>
    <x v="1"/>
    <x v="5"/>
    <x v="1"/>
    <x v="1"/>
    <x v="0"/>
    <x v="1"/>
    <x v="1"/>
  </r>
  <r>
    <x v="180"/>
    <x v="180"/>
    <x v="5"/>
    <x v="1"/>
    <x v="5"/>
    <x v="1"/>
    <x v="1"/>
    <x v="0"/>
    <x v="1"/>
    <x v="1"/>
  </r>
  <r>
    <x v="181"/>
    <x v="181"/>
    <x v="1"/>
    <x v="0"/>
    <x v="5"/>
    <x v="0"/>
    <x v="2"/>
    <x v="0"/>
    <x v="2"/>
    <x v="0"/>
  </r>
  <r>
    <x v="182"/>
    <x v="182"/>
    <x v="4"/>
    <x v="0"/>
    <x v="5"/>
    <x v="1"/>
    <x v="1"/>
    <x v="0"/>
    <x v="1"/>
    <x v="1"/>
  </r>
  <r>
    <x v="183"/>
    <x v="183"/>
    <x v="4"/>
    <x v="2"/>
    <x v="1"/>
    <x v="1"/>
    <x v="1"/>
    <x v="0"/>
    <x v="1"/>
    <x v="1"/>
  </r>
  <r>
    <x v="184"/>
    <x v="184"/>
    <x v="5"/>
    <x v="1"/>
    <x v="0"/>
    <x v="1"/>
    <x v="1"/>
    <x v="0"/>
    <x v="1"/>
    <x v="1"/>
  </r>
  <r>
    <x v="185"/>
    <x v="185"/>
    <x v="0"/>
    <x v="2"/>
    <x v="1"/>
    <x v="1"/>
    <x v="1"/>
    <x v="0"/>
    <x v="1"/>
    <x v="1"/>
  </r>
  <r>
    <x v="186"/>
    <x v="186"/>
    <x v="5"/>
    <x v="2"/>
    <x v="7"/>
    <x v="1"/>
    <x v="1"/>
    <x v="0"/>
    <x v="1"/>
    <x v="1"/>
  </r>
  <r>
    <x v="187"/>
    <x v="187"/>
    <x v="1"/>
    <x v="0"/>
    <x v="2"/>
    <x v="1"/>
    <x v="1"/>
    <x v="0"/>
    <x v="1"/>
    <x v="1"/>
  </r>
  <r>
    <x v="188"/>
    <x v="188"/>
    <x v="2"/>
    <x v="0"/>
    <x v="5"/>
    <x v="1"/>
    <x v="1"/>
    <x v="0"/>
    <x v="1"/>
    <x v="1"/>
  </r>
  <r>
    <x v="189"/>
    <x v="189"/>
    <x v="3"/>
    <x v="0"/>
    <x v="7"/>
    <x v="1"/>
    <x v="1"/>
    <x v="0"/>
    <x v="1"/>
    <x v="1"/>
  </r>
  <r>
    <x v="190"/>
    <x v="190"/>
    <x v="4"/>
    <x v="0"/>
    <x v="1"/>
    <x v="1"/>
    <x v="1"/>
    <x v="0"/>
    <x v="1"/>
    <x v="1"/>
  </r>
  <r>
    <x v="191"/>
    <x v="191"/>
    <x v="1"/>
    <x v="2"/>
    <x v="4"/>
    <x v="1"/>
    <x v="1"/>
    <x v="0"/>
    <x v="1"/>
    <x v="1"/>
  </r>
  <r>
    <x v="192"/>
    <x v="192"/>
    <x v="4"/>
    <x v="2"/>
    <x v="5"/>
    <x v="1"/>
    <x v="1"/>
    <x v="0"/>
    <x v="1"/>
    <x v="1"/>
  </r>
  <r>
    <x v="193"/>
    <x v="193"/>
    <x v="0"/>
    <x v="2"/>
    <x v="3"/>
    <x v="1"/>
    <x v="1"/>
    <x v="0"/>
    <x v="1"/>
    <x v="1"/>
  </r>
  <r>
    <x v="194"/>
    <x v="194"/>
    <x v="2"/>
    <x v="0"/>
    <x v="5"/>
    <x v="1"/>
    <x v="1"/>
    <x v="0"/>
    <x v="1"/>
    <x v="1"/>
  </r>
  <r>
    <x v="195"/>
    <x v="195"/>
    <x v="2"/>
    <x v="2"/>
    <x v="6"/>
    <x v="0"/>
    <x v="0"/>
    <x v="0"/>
    <x v="0"/>
    <x v="0"/>
  </r>
  <r>
    <x v="196"/>
    <x v="196"/>
    <x v="2"/>
    <x v="2"/>
    <x v="0"/>
    <x v="1"/>
    <x v="1"/>
    <x v="0"/>
    <x v="1"/>
    <x v="1"/>
  </r>
  <r>
    <x v="197"/>
    <x v="197"/>
    <x v="3"/>
    <x v="1"/>
    <x v="0"/>
    <x v="1"/>
    <x v="1"/>
    <x v="0"/>
    <x v="1"/>
    <x v="1"/>
  </r>
  <r>
    <x v="198"/>
    <x v="198"/>
    <x v="5"/>
    <x v="2"/>
    <x v="1"/>
    <x v="2"/>
    <x v="5"/>
    <x v="0"/>
    <x v="8"/>
    <x v="0"/>
  </r>
  <r>
    <x v="199"/>
    <x v="199"/>
    <x v="2"/>
    <x v="0"/>
    <x v="7"/>
    <x v="1"/>
    <x v="1"/>
    <x v="0"/>
    <x v="1"/>
    <x v="1"/>
  </r>
  <r>
    <x v="200"/>
    <x v="200"/>
    <x v="0"/>
    <x v="1"/>
    <x v="3"/>
    <x v="1"/>
    <x v="1"/>
    <x v="0"/>
    <x v="1"/>
    <x v="1"/>
  </r>
  <r>
    <x v="201"/>
    <x v="201"/>
    <x v="0"/>
    <x v="0"/>
    <x v="5"/>
    <x v="1"/>
    <x v="1"/>
    <x v="0"/>
    <x v="1"/>
    <x v="1"/>
  </r>
  <r>
    <x v="202"/>
    <x v="202"/>
    <x v="1"/>
    <x v="1"/>
    <x v="6"/>
    <x v="1"/>
    <x v="1"/>
    <x v="0"/>
    <x v="1"/>
    <x v="1"/>
  </r>
  <r>
    <x v="203"/>
    <x v="203"/>
    <x v="5"/>
    <x v="1"/>
    <x v="3"/>
    <x v="1"/>
    <x v="1"/>
    <x v="0"/>
    <x v="1"/>
    <x v="1"/>
  </r>
  <r>
    <x v="204"/>
    <x v="204"/>
    <x v="3"/>
    <x v="0"/>
    <x v="3"/>
    <x v="1"/>
    <x v="1"/>
    <x v="0"/>
    <x v="1"/>
    <x v="1"/>
  </r>
  <r>
    <x v="205"/>
    <x v="205"/>
    <x v="5"/>
    <x v="2"/>
    <x v="6"/>
    <x v="1"/>
    <x v="1"/>
    <x v="0"/>
    <x v="1"/>
    <x v="1"/>
  </r>
  <r>
    <x v="206"/>
    <x v="206"/>
    <x v="2"/>
    <x v="2"/>
    <x v="7"/>
    <x v="1"/>
    <x v="1"/>
    <x v="0"/>
    <x v="1"/>
    <x v="1"/>
  </r>
  <r>
    <x v="207"/>
    <x v="207"/>
    <x v="1"/>
    <x v="2"/>
    <x v="0"/>
    <x v="1"/>
    <x v="1"/>
    <x v="0"/>
    <x v="1"/>
    <x v="1"/>
  </r>
  <r>
    <x v="208"/>
    <x v="208"/>
    <x v="0"/>
    <x v="0"/>
    <x v="1"/>
    <x v="1"/>
    <x v="1"/>
    <x v="0"/>
    <x v="1"/>
    <x v="1"/>
  </r>
  <r>
    <x v="209"/>
    <x v="209"/>
    <x v="3"/>
    <x v="0"/>
    <x v="5"/>
    <x v="1"/>
    <x v="1"/>
    <x v="0"/>
    <x v="1"/>
    <x v="1"/>
  </r>
  <r>
    <x v="210"/>
    <x v="210"/>
    <x v="3"/>
    <x v="0"/>
    <x v="5"/>
    <x v="1"/>
    <x v="1"/>
    <x v="0"/>
    <x v="1"/>
    <x v="1"/>
  </r>
  <r>
    <x v="211"/>
    <x v="211"/>
    <x v="1"/>
    <x v="0"/>
    <x v="1"/>
    <x v="2"/>
    <x v="9"/>
    <x v="0"/>
    <x v="9"/>
    <x v="0"/>
  </r>
  <r>
    <x v="212"/>
    <x v="212"/>
    <x v="4"/>
    <x v="2"/>
    <x v="1"/>
    <x v="1"/>
    <x v="1"/>
    <x v="0"/>
    <x v="1"/>
    <x v="1"/>
  </r>
  <r>
    <x v="213"/>
    <x v="213"/>
    <x v="5"/>
    <x v="0"/>
    <x v="4"/>
    <x v="3"/>
    <x v="10"/>
    <x v="1"/>
    <x v="10"/>
    <x v="0"/>
  </r>
  <r>
    <x v="214"/>
    <x v="214"/>
    <x v="0"/>
    <x v="0"/>
    <x v="6"/>
    <x v="1"/>
    <x v="1"/>
    <x v="0"/>
    <x v="1"/>
    <x v="1"/>
  </r>
  <r>
    <x v="215"/>
    <x v="215"/>
    <x v="4"/>
    <x v="2"/>
    <x v="6"/>
    <x v="1"/>
    <x v="1"/>
    <x v="0"/>
    <x v="1"/>
    <x v="1"/>
  </r>
  <r>
    <x v="216"/>
    <x v="216"/>
    <x v="4"/>
    <x v="1"/>
    <x v="5"/>
    <x v="0"/>
    <x v="4"/>
    <x v="0"/>
    <x v="4"/>
    <x v="0"/>
  </r>
  <r>
    <x v="217"/>
    <x v="217"/>
    <x v="3"/>
    <x v="2"/>
    <x v="1"/>
    <x v="1"/>
    <x v="1"/>
    <x v="0"/>
    <x v="1"/>
    <x v="1"/>
  </r>
  <r>
    <x v="218"/>
    <x v="218"/>
    <x v="1"/>
    <x v="0"/>
    <x v="7"/>
    <x v="1"/>
    <x v="1"/>
    <x v="0"/>
    <x v="1"/>
    <x v="1"/>
  </r>
  <r>
    <x v="219"/>
    <x v="219"/>
    <x v="3"/>
    <x v="1"/>
    <x v="5"/>
    <x v="1"/>
    <x v="1"/>
    <x v="0"/>
    <x v="1"/>
    <x v="1"/>
  </r>
  <r>
    <x v="220"/>
    <x v="220"/>
    <x v="3"/>
    <x v="1"/>
    <x v="4"/>
    <x v="1"/>
    <x v="1"/>
    <x v="0"/>
    <x v="1"/>
    <x v="1"/>
  </r>
  <r>
    <x v="221"/>
    <x v="221"/>
    <x v="4"/>
    <x v="2"/>
    <x v="7"/>
    <x v="1"/>
    <x v="1"/>
    <x v="0"/>
    <x v="1"/>
    <x v="1"/>
  </r>
  <r>
    <x v="222"/>
    <x v="222"/>
    <x v="4"/>
    <x v="1"/>
    <x v="6"/>
    <x v="1"/>
    <x v="1"/>
    <x v="0"/>
    <x v="1"/>
    <x v="1"/>
  </r>
  <r>
    <x v="223"/>
    <x v="223"/>
    <x v="0"/>
    <x v="2"/>
    <x v="4"/>
    <x v="1"/>
    <x v="1"/>
    <x v="0"/>
    <x v="1"/>
    <x v="1"/>
  </r>
  <r>
    <x v="224"/>
    <x v="224"/>
    <x v="4"/>
    <x v="1"/>
    <x v="4"/>
    <x v="1"/>
    <x v="1"/>
    <x v="0"/>
    <x v="1"/>
    <x v="1"/>
  </r>
  <r>
    <x v="225"/>
    <x v="225"/>
    <x v="0"/>
    <x v="0"/>
    <x v="2"/>
    <x v="1"/>
    <x v="1"/>
    <x v="0"/>
    <x v="1"/>
    <x v="1"/>
  </r>
  <r>
    <x v="226"/>
    <x v="226"/>
    <x v="2"/>
    <x v="2"/>
    <x v="0"/>
    <x v="1"/>
    <x v="1"/>
    <x v="0"/>
    <x v="1"/>
    <x v="1"/>
  </r>
  <r>
    <x v="227"/>
    <x v="227"/>
    <x v="4"/>
    <x v="0"/>
    <x v="5"/>
    <x v="1"/>
    <x v="1"/>
    <x v="0"/>
    <x v="1"/>
    <x v="1"/>
  </r>
  <r>
    <x v="228"/>
    <x v="228"/>
    <x v="5"/>
    <x v="2"/>
    <x v="0"/>
    <x v="2"/>
    <x v="5"/>
    <x v="0"/>
    <x v="8"/>
    <x v="0"/>
  </r>
  <r>
    <x v="229"/>
    <x v="229"/>
    <x v="0"/>
    <x v="1"/>
    <x v="3"/>
    <x v="0"/>
    <x v="0"/>
    <x v="0"/>
    <x v="0"/>
    <x v="0"/>
  </r>
  <r>
    <x v="230"/>
    <x v="230"/>
    <x v="3"/>
    <x v="2"/>
    <x v="5"/>
    <x v="2"/>
    <x v="9"/>
    <x v="0"/>
    <x v="9"/>
    <x v="0"/>
  </r>
  <r>
    <x v="231"/>
    <x v="231"/>
    <x v="2"/>
    <x v="1"/>
    <x v="1"/>
    <x v="1"/>
    <x v="1"/>
    <x v="0"/>
    <x v="1"/>
    <x v="1"/>
  </r>
  <r>
    <x v="232"/>
    <x v="232"/>
    <x v="3"/>
    <x v="0"/>
    <x v="1"/>
    <x v="1"/>
    <x v="1"/>
    <x v="0"/>
    <x v="1"/>
    <x v="1"/>
  </r>
  <r>
    <x v="233"/>
    <x v="233"/>
    <x v="3"/>
    <x v="0"/>
    <x v="2"/>
    <x v="1"/>
    <x v="1"/>
    <x v="0"/>
    <x v="1"/>
    <x v="1"/>
  </r>
  <r>
    <x v="234"/>
    <x v="234"/>
    <x v="4"/>
    <x v="0"/>
    <x v="5"/>
    <x v="1"/>
    <x v="1"/>
    <x v="0"/>
    <x v="1"/>
    <x v="1"/>
  </r>
  <r>
    <x v="235"/>
    <x v="235"/>
    <x v="0"/>
    <x v="0"/>
    <x v="1"/>
    <x v="0"/>
    <x v="2"/>
    <x v="0"/>
    <x v="2"/>
    <x v="0"/>
  </r>
  <r>
    <x v="236"/>
    <x v="236"/>
    <x v="2"/>
    <x v="2"/>
    <x v="2"/>
    <x v="1"/>
    <x v="1"/>
    <x v="0"/>
    <x v="1"/>
    <x v="1"/>
  </r>
  <r>
    <x v="237"/>
    <x v="237"/>
    <x v="2"/>
    <x v="0"/>
    <x v="5"/>
    <x v="1"/>
    <x v="1"/>
    <x v="0"/>
    <x v="1"/>
    <x v="1"/>
  </r>
  <r>
    <x v="238"/>
    <x v="238"/>
    <x v="2"/>
    <x v="1"/>
    <x v="7"/>
    <x v="0"/>
    <x v="4"/>
    <x v="0"/>
    <x v="4"/>
    <x v="0"/>
  </r>
  <r>
    <x v="239"/>
    <x v="239"/>
    <x v="4"/>
    <x v="1"/>
    <x v="2"/>
    <x v="1"/>
    <x v="1"/>
    <x v="0"/>
    <x v="1"/>
    <x v="1"/>
  </r>
  <r>
    <x v="240"/>
    <x v="240"/>
    <x v="1"/>
    <x v="0"/>
    <x v="7"/>
    <x v="1"/>
    <x v="1"/>
    <x v="0"/>
    <x v="1"/>
    <x v="1"/>
  </r>
  <r>
    <x v="241"/>
    <x v="241"/>
    <x v="1"/>
    <x v="0"/>
    <x v="0"/>
    <x v="1"/>
    <x v="1"/>
    <x v="0"/>
    <x v="1"/>
    <x v="1"/>
  </r>
  <r>
    <x v="242"/>
    <x v="242"/>
    <x v="0"/>
    <x v="0"/>
    <x v="0"/>
    <x v="1"/>
    <x v="1"/>
    <x v="0"/>
    <x v="1"/>
    <x v="1"/>
  </r>
  <r>
    <x v="243"/>
    <x v="243"/>
    <x v="0"/>
    <x v="1"/>
    <x v="1"/>
    <x v="1"/>
    <x v="1"/>
    <x v="0"/>
    <x v="1"/>
    <x v="1"/>
  </r>
  <r>
    <x v="244"/>
    <x v="244"/>
    <x v="4"/>
    <x v="0"/>
    <x v="4"/>
    <x v="1"/>
    <x v="1"/>
    <x v="0"/>
    <x v="1"/>
    <x v="1"/>
  </r>
  <r>
    <x v="245"/>
    <x v="245"/>
    <x v="1"/>
    <x v="2"/>
    <x v="5"/>
    <x v="2"/>
    <x v="11"/>
    <x v="2"/>
    <x v="0"/>
    <x v="0"/>
  </r>
  <r>
    <x v="246"/>
    <x v="246"/>
    <x v="1"/>
    <x v="2"/>
    <x v="1"/>
    <x v="0"/>
    <x v="4"/>
    <x v="0"/>
    <x v="4"/>
    <x v="0"/>
  </r>
  <r>
    <x v="247"/>
    <x v="247"/>
    <x v="4"/>
    <x v="2"/>
    <x v="5"/>
    <x v="1"/>
    <x v="1"/>
    <x v="0"/>
    <x v="1"/>
    <x v="1"/>
  </r>
  <r>
    <x v="248"/>
    <x v="248"/>
    <x v="1"/>
    <x v="1"/>
    <x v="7"/>
    <x v="0"/>
    <x v="0"/>
    <x v="0"/>
    <x v="0"/>
    <x v="0"/>
  </r>
  <r>
    <x v="249"/>
    <x v="249"/>
    <x v="5"/>
    <x v="0"/>
    <x v="4"/>
    <x v="1"/>
    <x v="1"/>
    <x v="0"/>
    <x v="1"/>
    <x v="1"/>
  </r>
  <r>
    <x v="250"/>
    <x v="250"/>
    <x v="0"/>
    <x v="1"/>
    <x v="2"/>
    <x v="1"/>
    <x v="1"/>
    <x v="0"/>
    <x v="1"/>
    <x v="1"/>
  </r>
  <r>
    <x v="251"/>
    <x v="251"/>
    <x v="0"/>
    <x v="1"/>
    <x v="2"/>
    <x v="2"/>
    <x v="12"/>
    <x v="2"/>
    <x v="4"/>
    <x v="0"/>
  </r>
  <r>
    <x v="252"/>
    <x v="252"/>
    <x v="2"/>
    <x v="1"/>
    <x v="7"/>
    <x v="1"/>
    <x v="1"/>
    <x v="0"/>
    <x v="1"/>
    <x v="1"/>
  </r>
  <r>
    <x v="253"/>
    <x v="253"/>
    <x v="5"/>
    <x v="1"/>
    <x v="1"/>
    <x v="1"/>
    <x v="1"/>
    <x v="0"/>
    <x v="1"/>
    <x v="1"/>
  </r>
  <r>
    <x v="254"/>
    <x v="254"/>
    <x v="2"/>
    <x v="2"/>
    <x v="3"/>
    <x v="1"/>
    <x v="1"/>
    <x v="0"/>
    <x v="1"/>
    <x v="1"/>
  </r>
  <r>
    <x v="255"/>
    <x v="255"/>
    <x v="4"/>
    <x v="0"/>
    <x v="6"/>
    <x v="1"/>
    <x v="1"/>
    <x v="0"/>
    <x v="1"/>
    <x v="1"/>
  </r>
  <r>
    <x v="256"/>
    <x v="256"/>
    <x v="1"/>
    <x v="0"/>
    <x v="5"/>
    <x v="1"/>
    <x v="1"/>
    <x v="0"/>
    <x v="1"/>
    <x v="1"/>
  </r>
  <r>
    <x v="257"/>
    <x v="257"/>
    <x v="1"/>
    <x v="1"/>
    <x v="1"/>
    <x v="1"/>
    <x v="1"/>
    <x v="0"/>
    <x v="1"/>
    <x v="1"/>
  </r>
  <r>
    <x v="258"/>
    <x v="258"/>
    <x v="4"/>
    <x v="1"/>
    <x v="5"/>
    <x v="1"/>
    <x v="1"/>
    <x v="0"/>
    <x v="1"/>
    <x v="1"/>
  </r>
  <r>
    <x v="259"/>
    <x v="259"/>
    <x v="1"/>
    <x v="2"/>
    <x v="3"/>
    <x v="1"/>
    <x v="1"/>
    <x v="0"/>
    <x v="1"/>
    <x v="1"/>
  </r>
  <r>
    <x v="260"/>
    <x v="260"/>
    <x v="4"/>
    <x v="2"/>
    <x v="6"/>
    <x v="1"/>
    <x v="1"/>
    <x v="0"/>
    <x v="1"/>
    <x v="1"/>
  </r>
  <r>
    <x v="261"/>
    <x v="261"/>
    <x v="0"/>
    <x v="0"/>
    <x v="6"/>
    <x v="1"/>
    <x v="1"/>
    <x v="0"/>
    <x v="1"/>
    <x v="1"/>
  </r>
  <r>
    <x v="262"/>
    <x v="262"/>
    <x v="3"/>
    <x v="0"/>
    <x v="6"/>
    <x v="1"/>
    <x v="1"/>
    <x v="0"/>
    <x v="1"/>
    <x v="1"/>
  </r>
  <r>
    <x v="263"/>
    <x v="263"/>
    <x v="1"/>
    <x v="0"/>
    <x v="4"/>
    <x v="1"/>
    <x v="1"/>
    <x v="0"/>
    <x v="1"/>
    <x v="1"/>
  </r>
  <r>
    <x v="264"/>
    <x v="264"/>
    <x v="3"/>
    <x v="0"/>
    <x v="0"/>
    <x v="1"/>
    <x v="1"/>
    <x v="0"/>
    <x v="1"/>
    <x v="1"/>
  </r>
  <r>
    <x v="265"/>
    <x v="265"/>
    <x v="0"/>
    <x v="0"/>
    <x v="1"/>
    <x v="1"/>
    <x v="1"/>
    <x v="0"/>
    <x v="1"/>
    <x v="1"/>
  </r>
  <r>
    <x v="266"/>
    <x v="266"/>
    <x v="3"/>
    <x v="0"/>
    <x v="4"/>
    <x v="1"/>
    <x v="1"/>
    <x v="0"/>
    <x v="1"/>
    <x v="1"/>
  </r>
  <r>
    <x v="267"/>
    <x v="267"/>
    <x v="3"/>
    <x v="2"/>
    <x v="2"/>
    <x v="1"/>
    <x v="1"/>
    <x v="0"/>
    <x v="1"/>
    <x v="1"/>
  </r>
  <r>
    <x v="268"/>
    <x v="268"/>
    <x v="5"/>
    <x v="1"/>
    <x v="3"/>
    <x v="1"/>
    <x v="1"/>
    <x v="0"/>
    <x v="1"/>
    <x v="1"/>
  </r>
  <r>
    <x v="269"/>
    <x v="269"/>
    <x v="1"/>
    <x v="2"/>
    <x v="4"/>
    <x v="1"/>
    <x v="1"/>
    <x v="0"/>
    <x v="1"/>
    <x v="1"/>
  </r>
  <r>
    <x v="270"/>
    <x v="270"/>
    <x v="1"/>
    <x v="0"/>
    <x v="4"/>
    <x v="1"/>
    <x v="1"/>
    <x v="0"/>
    <x v="1"/>
    <x v="1"/>
  </r>
  <r>
    <x v="271"/>
    <x v="271"/>
    <x v="2"/>
    <x v="0"/>
    <x v="5"/>
    <x v="1"/>
    <x v="1"/>
    <x v="0"/>
    <x v="1"/>
    <x v="1"/>
  </r>
  <r>
    <x v="272"/>
    <x v="272"/>
    <x v="1"/>
    <x v="2"/>
    <x v="3"/>
    <x v="1"/>
    <x v="1"/>
    <x v="0"/>
    <x v="1"/>
    <x v="1"/>
  </r>
  <r>
    <x v="273"/>
    <x v="273"/>
    <x v="0"/>
    <x v="2"/>
    <x v="3"/>
    <x v="1"/>
    <x v="1"/>
    <x v="0"/>
    <x v="1"/>
    <x v="1"/>
  </r>
  <r>
    <x v="274"/>
    <x v="274"/>
    <x v="0"/>
    <x v="0"/>
    <x v="1"/>
    <x v="1"/>
    <x v="1"/>
    <x v="0"/>
    <x v="1"/>
    <x v="1"/>
  </r>
  <r>
    <x v="275"/>
    <x v="275"/>
    <x v="4"/>
    <x v="1"/>
    <x v="3"/>
    <x v="0"/>
    <x v="7"/>
    <x v="0"/>
    <x v="6"/>
    <x v="0"/>
  </r>
  <r>
    <x v="276"/>
    <x v="276"/>
    <x v="5"/>
    <x v="2"/>
    <x v="1"/>
    <x v="1"/>
    <x v="1"/>
    <x v="0"/>
    <x v="1"/>
    <x v="1"/>
  </r>
  <r>
    <x v="277"/>
    <x v="277"/>
    <x v="1"/>
    <x v="1"/>
    <x v="5"/>
    <x v="0"/>
    <x v="0"/>
    <x v="0"/>
    <x v="0"/>
    <x v="0"/>
  </r>
  <r>
    <x v="278"/>
    <x v="278"/>
    <x v="1"/>
    <x v="0"/>
    <x v="4"/>
    <x v="1"/>
    <x v="1"/>
    <x v="0"/>
    <x v="1"/>
    <x v="1"/>
  </r>
  <r>
    <x v="279"/>
    <x v="279"/>
    <x v="3"/>
    <x v="1"/>
    <x v="2"/>
    <x v="1"/>
    <x v="1"/>
    <x v="0"/>
    <x v="1"/>
    <x v="1"/>
  </r>
  <r>
    <x v="280"/>
    <x v="280"/>
    <x v="1"/>
    <x v="0"/>
    <x v="5"/>
    <x v="1"/>
    <x v="1"/>
    <x v="0"/>
    <x v="1"/>
    <x v="1"/>
  </r>
  <r>
    <x v="281"/>
    <x v="281"/>
    <x v="1"/>
    <x v="0"/>
    <x v="6"/>
    <x v="1"/>
    <x v="1"/>
    <x v="0"/>
    <x v="1"/>
    <x v="1"/>
  </r>
  <r>
    <x v="282"/>
    <x v="282"/>
    <x v="1"/>
    <x v="2"/>
    <x v="5"/>
    <x v="1"/>
    <x v="1"/>
    <x v="0"/>
    <x v="1"/>
    <x v="1"/>
  </r>
  <r>
    <x v="283"/>
    <x v="283"/>
    <x v="0"/>
    <x v="2"/>
    <x v="4"/>
    <x v="1"/>
    <x v="1"/>
    <x v="0"/>
    <x v="1"/>
    <x v="1"/>
  </r>
  <r>
    <x v="284"/>
    <x v="284"/>
    <x v="1"/>
    <x v="0"/>
    <x v="7"/>
    <x v="1"/>
    <x v="1"/>
    <x v="0"/>
    <x v="1"/>
    <x v="1"/>
  </r>
  <r>
    <x v="285"/>
    <x v="285"/>
    <x v="0"/>
    <x v="1"/>
    <x v="5"/>
    <x v="1"/>
    <x v="1"/>
    <x v="0"/>
    <x v="1"/>
    <x v="1"/>
  </r>
  <r>
    <x v="286"/>
    <x v="286"/>
    <x v="1"/>
    <x v="1"/>
    <x v="7"/>
    <x v="1"/>
    <x v="1"/>
    <x v="0"/>
    <x v="1"/>
    <x v="1"/>
  </r>
  <r>
    <x v="287"/>
    <x v="287"/>
    <x v="3"/>
    <x v="2"/>
    <x v="1"/>
    <x v="2"/>
    <x v="5"/>
    <x v="0"/>
    <x v="8"/>
    <x v="0"/>
  </r>
  <r>
    <x v="288"/>
    <x v="288"/>
    <x v="4"/>
    <x v="1"/>
    <x v="3"/>
    <x v="2"/>
    <x v="9"/>
    <x v="0"/>
    <x v="9"/>
    <x v="0"/>
  </r>
  <r>
    <x v="289"/>
    <x v="289"/>
    <x v="2"/>
    <x v="0"/>
    <x v="4"/>
    <x v="1"/>
    <x v="1"/>
    <x v="0"/>
    <x v="1"/>
    <x v="1"/>
  </r>
  <r>
    <x v="290"/>
    <x v="290"/>
    <x v="3"/>
    <x v="1"/>
    <x v="1"/>
    <x v="0"/>
    <x v="0"/>
    <x v="0"/>
    <x v="0"/>
    <x v="0"/>
  </r>
  <r>
    <x v="291"/>
    <x v="291"/>
    <x v="3"/>
    <x v="0"/>
    <x v="5"/>
    <x v="1"/>
    <x v="1"/>
    <x v="0"/>
    <x v="1"/>
    <x v="1"/>
  </r>
  <r>
    <x v="292"/>
    <x v="292"/>
    <x v="0"/>
    <x v="2"/>
    <x v="7"/>
    <x v="0"/>
    <x v="4"/>
    <x v="0"/>
    <x v="4"/>
    <x v="0"/>
  </r>
  <r>
    <x v="293"/>
    <x v="293"/>
    <x v="1"/>
    <x v="1"/>
    <x v="2"/>
    <x v="0"/>
    <x v="4"/>
    <x v="0"/>
    <x v="4"/>
    <x v="0"/>
  </r>
  <r>
    <x v="294"/>
    <x v="294"/>
    <x v="2"/>
    <x v="0"/>
    <x v="4"/>
    <x v="1"/>
    <x v="1"/>
    <x v="0"/>
    <x v="1"/>
    <x v="1"/>
  </r>
  <r>
    <x v="295"/>
    <x v="295"/>
    <x v="0"/>
    <x v="2"/>
    <x v="5"/>
    <x v="2"/>
    <x v="9"/>
    <x v="0"/>
    <x v="9"/>
    <x v="0"/>
  </r>
  <r>
    <x v="296"/>
    <x v="296"/>
    <x v="4"/>
    <x v="1"/>
    <x v="6"/>
    <x v="1"/>
    <x v="1"/>
    <x v="0"/>
    <x v="1"/>
    <x v="1"/>
  </r>
  <r>
    <x v="297"/>
    <x v="297"/>
    <x v="1"/>
    <x v="0"/>
    <x v="0"/>
    <x v="1"/>
    <x v="1"/>
    <x v="0"/>
    <x v="1"/>
    <x v="1"/>
  </r>
  <r>
    <x v="298"/>
    <x v="298"/>
    <x v="4"/>
    <x v="2"/>
    <x v="1"/>
    <x v="3"/>
    <x v="13"/>
    <x v="3"/>
    <x v="2"/>
    <x v="0"/>
  </r>
  <r>
    <x v="299"/>
    <x v="299"/>
    <x v="4"/>
    <x v="1"/>
    <x v="1"/>
    <x v="1"/>
    <x v="1"/>
    <x v="0"/>
    <x v="1"/>
    <x v="1"/>
  </r>
  <r>
    <x v="300"/>
    <x v="300"/>
    <x v="5"/>
    <x v="1"/>
    <x v="3"/>
    <x v="1"/>
    <x v="1"/>
    <x v="0"/>
    <x v="1"/>
    <x v="1"/>
  </r>
  <r>
    <x v="301"/>
    <x v="301"/>
    <x v="2"/>
    <x v="0"/>
    <x v="2"/>
    <x v="1"/>
    <x v="1"/>
    <x v="0"/>
    <x v="1"/>
    <x v="1"/>
  </r>
  <r>
    <x v="302"/>
    <x v="302"/>
    <x v="0"/>
    <x v="2"/>
    <x v="1"/>
    <x v="1"/>
    <x v="1"/>
    <x v="0"/>
    <x v="1"/>
    <x v="1"/>
  </r>
  <r>
    <x v="303"/>
    <x v="303"/>
    <x v="1"/>
    <x v="2"/>
    <x v="4"/>
    <x v="1"/>
    <x v="1"/>
    <x v="0"/>
    <x v="1"/>
    <x v="1"/>
  </r>
  <r>
    <x v="304"/>
    <x v="304"/>
    <x v="5"/>
    <x v="1"/>
    <x v="3"/>
    <x v="1"/>
    <x v="1"/>
    <x v="0"/>
    <x v="1"/>
    <x v="1"/>
  </r>
  <r>
    <x v="305"/>
    <x v="305"/>
    <x v="2"/>
    <x v="1"/>
    <x v="5"/>
    <x v="0"/>
    <x v="2"/>
    <x v="0"/>
    <x v="2"/>
    <x v="0"/>
  </r>
  <r>
    <x v="306"/>
    <x v="306"/>
    <x v="0"/>
    <x v="2"/>
    <x v="1"/>
    <x v="1"/>
    <x v="1"/>
    <x v="0"/>
    <x v="1"/>
    <x v="1"/>
  </r>
  <r>
    <x v="307"/>
    <x v="307"/>
    <x v="3"/>
    <x v="2"/>
    <x v="1"/>
    <x v="2"/>
    <x v="5"/>
    <x v="0"/>
    <x v="8"/>
    <x v="0"/>
  </r>
  <r>
    <x v="308"/>
    <x v="308"/>
    <x v="0"/>
    <x v="1"/>
    <x v="2"/>
    <x v="1"/>
    <x v="1"/>
    <x v="0"/>
    <x v="1"/>
    <x v="1"/>
  </r>
  <r>
    <x v="309"/>
    <x v="309"/>
    <x v="3"/>
    <x v="2"/>
    <x v="1"/>
    <x v="0"/>
    <x v="4"/>
    <x v="0"/>
    <x v="4"/>
    <x v="0"/>
  </r>
  <r>
    <x v="310"/>
    <x v="310"/>
    <x v="3"/>
    <x v="0"/>
    <x v="2"/>
    <x v="1"/>
    <x v="1"/>
    <x v="0"/>
    <x v="1"/>
    <x v="1"/>
  </r>
  <r>
    <x v="311"/>
    <x v="311"/>
    <x v="3"/>
    <x v="0"/>
    <x v="1"/>
    <x v="1"/>
    <x v="1"/>
    <x v="0"/>
    <x v="1"/>
    <x v="1"/>
  </r>
  <r>
    <x v="312"/>
    <x v="312"/>
    <x v="1"/>
    <x v="2"/>
    <x v="5"/>
    <x v="1"/>
    <x v="1"/>
    <x v="0"/>
    <x v="1"/>
    <x v="1"/>
  </r>
  <r>
    <x v="313"/>
    <x v="313"/>
    <x v="5"/>
    <x v="1"/>
    <x v="5"/>
    <x v="2"/>
    <x v="6"/>
    <x v="4"/>
    <x v="3"/>
    <x v="0"/>
  </r>
  <r>
    <x v="314"/>
    <x v="314"/>
    <x v="1"/>
    <x v="2"/>
    <x v="7"/>
    <x v="1"/>
    <x v="1"/>
    <x v="0"/>
    <x v="1"/>
    <x v="1"/>
  </r>
  <r>
    <x v="315"/>
    <x v="315"/>
    <x v="5"/>
    <x v="1"/>
    <x v="1"/>
    <x v="1"/>
    <x v="1"/>
    <x v="0"/>
    <x v="1"/>
    <x v="1"/>
  </r>
  <r>
    <x v="316"/>
    <x v="316"/>
    <x v="4"/>
    <x v="2"/>
    <x v="5"/>
    <x v="1"/>
    <x v="1"/>
    <x v="0"/>
    <x v="1"/>
    <x v="1"/>
  </r>
  <r>
    <x v="317"/>
    <x v="317"/>
    <x v="4"/>
    <x v="2"/>
    <x v="4"/>
    <x v="1"/>
    <x v="1"/>
    <x v="0"/>
    <x v="1"/>
    <x v="1"/>
  </r>
  <r>
    <x v="318"/>
    <x v="318"/>
    <x v="4"/>
    <x v="2"/>
    <x v="4"/>
    <x v="1"/>
    <x v="1"/>
    <x v="0"/>
    <x v="1"/>
    <x v="1"/>
  </r>
  <r>
    <x v="319"/>
    <x v="319"/>
    <x v="5"/>
    <x v="0"/>
    <x v="4"/>
    <x v="3"/>
    <x v="13"/>
    <x v="2"/>
    <x v="9"/>
    <x v="0"/>
  </r>
  <r>
    <x v="320"/>
    <x v="320"/>
    <x v="2"/>
    <x v="1"/>
    <x v="3"/>
    <x v="1"/>
    <x v="1"/>
    <x v="0"/>
    <x v="1"/>
    <x v="1"/>
  </r>
  <r>
    <x v="321"/>
    <x v="321"/>
    <x v="3"/>
    <x v="1"/>
    <x v="6"/>
    <x v="1"/>
    <x v="1"/>
    <x v="0"/>
    <x v="1"/>
    <x v="1"/>
  </r>
  <r>
    <x v="322"/>
    <x v="322"/>
    <x v="5"/>
    <x v="2"/>
    <x v="7"/>
    <x v="0"/>
    <x v="0"/>
    <x v="0"/>
    <x v="0"/>
    <x v="0"/>
  </r>
  <r>
    <x v="323"/>
    <x v="323"/>
    <x v="2"/>
    <x v="1"/>
    <x v="7"/>
    <x v="1"/>
    <x v="1"/>
    <x v="0"/>
    <x v="1"/>
    <x v="1"/>
  </r>
  <r>
    <x v="324"/>
    <x v="324"/>
    <x v="5"/>
    <x v="2"/>
    <x v="5"/>
    <x v="1"/>
    <x v="1"/>
    <x v="0"/>
    <x v="1"/>
    <x v="1"/>
  </r>
  <r>
    <x v="325"/>
    <x v="325"/>
    <x v="1"/>
    <x v="2"/>
    <x v="5"/>
    <x v="0"/>
    <x v="0"/>
    <x v="0"/>
    <x v="0"/>
    <x v="0"/>
  </r>
  <r>
    <x v="326"/>
    <x v="326"/>
    <x v="3"/>
    <x v="0"/>
    <x v="5"/>
    <x v="1"/>
    <x v="1"/>
    <x v="0"/>
    <x v="1"/>
    <x v="1"/>
  </r>
  <r>
    <x v="327"/>
    <x v="327"/>
    <x v="4"/>
    <x v="2"/>
    <x v="3"/>
    <x v="1"/>
    <x v="1"/>
    <x v="0"/>
    <x v="1"/>
    <x v="1"/>
  </r>
  <r>
    <x v="328"/>
    <x v="328"/>
    <x v="0"/>
    <x v="0"/>
    <x v="2"/>
    <x v="1"/>
    <x v="1"/>
    <x v="0"/>
    <x v="1"/>
    <x v="1"/>
  </r>
  <r>
    <x v="329"/>
    <x v="329"/>
    <x v="5"/>
    <x v="2"/>
    <x v="1"/>
    <x v="1"/>
    <x v="1"/>
    <x v="0"/>
    <x v="1"/>
    <x v="1"/>
  </r>
  <r>
    <x v="330"/>
    <x v="330"/>
    <x v="3"/>
    <x v="2"/>
    <x v="3"/>
    <x v="1"/>
    <x v="1"/>
    <x v="0"/>
    <x v="1"/>
    <x v="1"/>
  </r>
  <r>
    <x v="331"/>
    <x v="331"/>
    <x v="4"/>
    <x v="0"/>
    <x v="5"/>
    <x v="1"/>
    <x v="1"/>
    <x v="0"/>
    <x v="1"/>
    <x v="1"/>
  </r>
  <r>
    <x v="332"/>
    <x v="332"/>
    <x v="1"/>
    <x v="2"/>
    <x v="0"/>
    <x v="0"/>
    <x v="0"/>
    <x v="0"/>
    <x v="0"/>
    <x v="0"/>
  </r>
  <r>
    <x v="333"/>
    <x v="333"/>
    <x v="1"/>
    <x v="1"/>
    <x v="6"/>
    <x v="1"/>
    <x v="1"/>
    <x v="0"/>
    <x v="1"/>
    <x v="1"/>
  </r>
  <r>
    <x v="334"/>
    <x v="334"/>
    <x v="3"/>
    <x v="0"/>
    <x v="0"/>
    <x v="0"/>
    <x v="0"/>
    <x v="0"/>
    <x v="0"/>
    <x v="0"/>
  </r>
  <r>
    <x v="335"/>
    <x v="335"/>
    <x v="3"/>
    <x v="1"/>
    <x v="0"/>
    <x v="2"/>
    <x v="5"/>
    <x v="0"/>
    <x v="8"/>
    <x v="0"/>
  </r>
  <r>
    <x v="336"/>
    <x v="336"/>
    <x v="3"/>
    <x v="1"/>
    <x v="1"/>
    <x v="1"/>
    <x v="1"/>
    <x v="0"/>
    <x v="1"/>
    <x v="1"/>
  </r>
  <r>
    <x v="337"/>
    <x v="337"/>
    <x v="3"/>
    <x v="0"/>
    <x v="0"/>
    <x v="1"/>
    <x v="1"/>
    <x v="0"/>
    <x v="1"/>
    <x v="1"/>
  </r>
  <r>
    <x v="338"/>
    <x v="338"/>
    <x v="4"/>
    <x v="1"/>
    <x v="0"/>
    <x v="1"/>
    <x v="1"/>
    <x v="0"/>
    <x v="1"/>
    <x v="1"/>
  </r>
  <r>
    <x v="339"/>
    <x v="339"/>
    <x v="5"/>
    <x v="0"/>
    <x v="7"/>
    <x v="1"/>
    <x v="1"/>
    <x v="0"/>
    <x v="1"/>
    <x v="1"/>
  </r>
  <r>
    <x v="340"/>
    <x v="340"/>
    <x v="1"/>
    <x v="2"/>
    <x v="5"/>
    <x v="1"/>
    <x v="1"/>
    <x v="0"/>
    <x v="1"/>
    <x v="1"/>
  </r>
  <r>
    <x v="341"/>
    <x v="341"/>
    <x v="3"/>
    <x v="1"/>
    <x v="4"/>
    <x v="2"/>
    <x v="11"/>
    <x v="2"/>
    <x v="0"/>
    <x v="0"/>
  </r>
  <r>
    <x v="342"/>
    <x v="342"/>
    <x v="3"/>
    <x v="1"/>
    <x v="5"/>
    <x v="1"/>
    <x v="1"/>
    <x v="0"/>
    <x v="1"/>
    <x v="1"/>
  </r>
  <r>
    <x v="343"/>
    <x v="343"/>
    <x v="1"/>
    <x v="2"/>
    <x v="2"/>
    <x v="1"/>
    <x v="1"/>
    <x v="0"/>
    <x v="1"/>
    <x v="1"/>
  </r>
  <r>
    <x v="344"/>
    <x v="344"/>
    <x v="2"/>
    <x v="1"/>
    <x v="6"/>
    <x v="0"/>
    <x v="4"/>
    <x v="0"/>
    <x v="4"/>
    <x v="0"/>
  </r>
  <r>
    <x v="345"/>
    <x v="345"/>
    <x v="2"/>
    <x v="1"/>
    <x v="0"/>
    <x v="1"/>
    <x v="1"/>
    <x v="0"/>
    <x v="1"/>
    <x v="1"/>
  </r>
  <r>
    <x v="346"/>
    <x v="346"/>
    <x v="3"/>
    <x v="2"/>
    <x v="5"/>
    <x v="1"/>
    <x v="1"/>
    <x v="0"/>
    <x v="1"/>
    <x v="1"/>
  </r>
  <r>
    <x v="347"/>
    <x v="347"/>
    <x v="0"/>
    <x v="1"/>
    <x v="5"/>
    <x v="1"/>
    <x v="1"/>
    <x v="0"/>
    <x v="1"/>
    <x v="1"/>
  </r>
  <r>
    <x v="348"/>
    <x v="348"/>
    <x v="2"/>
    <x v="1"/>
    <x v="6"/>
    <x v="1"/>
    <x v="1"/>
    <x v="0"/>
    <x v="1"/>
    <x v="1"/>
  </r>
  <r>
    <x v="349"/>
    <x v="349"/>
    <x v="1"/>
    <x v="1"/>
    <x v="7"/>
    <x v="1"/>
    <x v="1"/>
    <x v="0"/>
    <x v="1"/>
    <x v="1"/>
  </r>
  <r>
    <x v="350"/>
    <x v="350"/>
    <x v="1"/>
    <x v="0"/>
    <x v="5"/>
    <x v="1"/>
    <x v="1"/>
    <x v="0"/>
    <x v="1"/>
    <x v="1"/>
  </r>
  <r>
    <x v="351"/>
    <x v="351"/>
    <x v="4"/>
    <x v="2"/>
    <x v="5"/>
    <x v="1"/>
    <x v="1"/>
    <x v="0"/>
    <x v="1"/>
    <x v="1"/>
  </r>
  <r>
    <x v="352"/>
    <x v="352"/>
    <x v="2"/>
    <x v="2"/>
    <x v="7"/>
    <x v="1"/>
    <x v="1"/>
    <x v="0"/>
    <x v="1"/>
    <x v="1"/>
  </r>
  <r>
    <x v="353"/>
    <x v="353"/>
    <x v="4"/>
    <x v="0"/>
    <x v="7"/>
    <x v="1"/>
    <x v="1"/>
    <x v="0"/>
    <x v="1"/>
    <x v="1"/>
  </r>
  <r>
    <x v="354"/>
    <x v="354"/>
    <x v="1"/>
    <x v="0"/>
    <x v="5"/>
    <x v="0"/>
    <x v="8"/>
    <x v="0"/>
    <x v="7"/>
    <x v="0"/>
  </r>
  <r>
    <x v="355"/>
    <x v="355"/>
    <x v="5"/>
    <x v="2"/>
    <x v="4"/>
    <x v="1"/>
    <x v="1"/>
    <x v="0"/>
    <x v="1"/>
    <x v="1"/>
  </r>
  <r>
    <x v="356"/>
    <x v="356"/>
    <x v="4"/>
    <x v="2"/>
    <x v="3"/>
    <x v="0"/>
    <x v="0"/>
    <x v="0"/>
    <x v="0"/>
    <x v="0"/>
  </r>
  <r>
    <x v="357"/>
    <x v="357"/>
    <x v="5"/>
    <x v="0"/>
    <x v="5"/>
    <x v="1"/>
    <x v="1"/>
    <x v="0"/>
    <x v="1"/>
    <x v="1"/>
  </r>
  <r>
    <x v="358"/>
    <x v="358"/>
    <x v="4"/>
    <x v="2"/>
    <x v="7"/>
    <x v="0"/>
    <x v="0"/>
    <x v="0"/>
    <x v="0"/>
    <x v="0"/>
  </r>
  <r>
    <x v="359"/>
    <x v="359"/>
    <x v="2"/>
    <x v="0"/>
    <x v="0"/>
    <x v="1"/>
    <x v="1"/>
    <x v="0"/>
    <x v="1"/>
    <x v="1"/>
  </r>
  <r>
    <x v="360"/>
    <x v="360"/>
    <x v="0"/>
    <x v="0"/>
    <x v="5"/>
    <x v="1"/>
    <x v="1"/>
    <x v="0"/>
    <x v="1"/>
    <x v="1"/>
  </r>
  <r>
    <x v="361"/>
    <x v="361"/>
    <x v="4"/>
    <x v="1"/>
    <x v="4"/>
    <x v="1"/>
    <x v="1"/>
    <x v="0"/>
    <x v="1"/>
    <x v="1"/>
  </r>
  <r>
    <x v="362"/>
    <x v="362"/>
    <x v="0"/>
    <x v="0"/>
    <x v="6"/>
    <x v="1"/>
    <x v="1"/>
    <x v="0"/>
    <x v="1"/>
    <x v="1"/>
  </r>
  <r>
    <x v="363"/>
    <x v="363"/>
    <x v="5"/>
    <x v="0"/>
    <x v="0"/>
    <x v="0"/>
    <x v="4"/>
    <x v="0"/>
    <x v="4"/>
    <x v="0"/>
  </r>
  <r>
    <x v="364"/>
    <x v="364"/>
    <x v="2"/>
    <x v="1"/>
    <x v="5"/>
    <x v="1"/>
    <x v="1"/>
    <x v="0"/>
    <x v="1"/>
    <x v="1"/>
  </r>
  <r>
    <x v="365"/>
    <x v="365"/>
    <x v="4"/>
    <x v="0"/>
    <x v="1"/>
    <x v="1"/>
    <x v="1"/>
    <x v="0"/>
    <x v="1"/>
    <x v="1"/>
  </r>
  <r>
    <x v="366"/>
    <x v="366"/>
    <x v="5"/>
    <x v="0"/>
    <x v="6"/>
    <x v="1"/>
    <x v="1"/>
    <x v="0"/>
    <x v="1"/>
    <x v="1"/>
  </r>
  <r>
    <x v="367"/>
    <x v="367"/>
    <x v="3"/>
    <x v="2"/>
    <x v="6"/>
    <x v="0"/>
    <x v="2"/>
    <x v="0"/>
    <x v="2"/>
    <x v="0"/>
  </r>
  <r>
    <x v="368"/>
    <x v="368"/>
    <x v="1"/>
    <x v="1"/>
    <x v="4"/>
    <x v="4"/>
    <x v="14"/>
    <x v="5"/>
    <x v="9"/>
    <x v="0"/>
  </r>
  <r>
    <x v="369"/>
    <x v="369"/>
    <x v="1"/>
    <x v="1"/>
    <x v="5"/>
    <x v="1"/>
    <x v="1"/>
    <x v="0"/>
    <x v="1"/>
    <x v="1"/>
  </r>
  <r>
    <x v="370"/>
    <x v="370"/>
    <x v="1"/>
    <x v="1"/>
    <x v="1"/>
    <x v="0"/>
    <x v="2"/>
    <x v="0"/>
    <x v="2"/>
    <x v="0"/>
  </r>
  <r>
    <x v="371"/>
    <x v="371"/>
    <x v="3"/>
    <x v="1"/>
    <x v="5"/>
    <x v="1"/>
    <x v="1"/>
    <x v="0"/>
    <x v="1"/>
    <x v="1"/>
  </r>
  <r>
    <x v="372"/>
    <x v="372"/>
    <x v="5"/>
    <x v="1"/>
    <x v="1"/>
    <x v="1"/>
    <x v="1"/>
    <x v="0"/>
    <x v="1"/>
    <x v="1"/>
  </r>
  <r>
    <x v="373"/>
    <x v="373"/>
    <x v="3"/>
    <x v="2"/>
    <x v="3"/>
    <x v="1"/>
    <x v="1"/>
    <x v="0"/>
    <x v="1"/>
    <x v="1"/>
  </r>
  <r>
    <x v="374"/>
    <x v="374"/>
    <x v="4"/>
    <x v="1"/>
    <x v="5"/>
    <x v="0"/>
    <x v="2"/>
    <x v="0"/>
    <x v="2"/>
    <x v="0"/>
  </r>
  <r>
    <x v="375"/>
    <x v="375"/>
    <x v="1"/>
    <x v="1"/>
    <x v="0"/>
    <x v="1"/>
    <x v="1"/>
    <x v="0"/>
    <x v="1"/>
    <x v="1"/>
  </r>
  <r>
    <x v="376"/>
    <x v="376"/>
    <x v="2"/>
    <x v="0"/>
    <x v="5"/>
    <x v="1"/>
    <x v="1"/>
    <x v="0"/>
    <x v="1"/>
    <x v="1"/>
  </r>
  <r>
    <x v="377"/>
    <x v="377"/>
    <x v="5"/>
    <x v="2"/>
    <x v="6"/>
    <x v="1"/>
    <x v="1"/>
    <x v="0"/>
    <x v="1"/>
    <x v="1"/>
  </r>
  <r>
    <x v="378"/>
    <x v="378"/>
    <x v="5"/>
    <x v="1"/>
    <x v="0"/>
    <x v="1"/>
    <x v="1"/>
    <x v="0"/>
    <x v="1"/>
    <x v="1"/>
  </r>
  <r>
    <x v="379"/>
    <x v="379"/>
    <x v="2"/>
    <x v="1"/>
    <x v="0"/>
    <x v="1"/>
    <x v="1"/>
    <x v="0"/>
    <x v="1"/>
    <x v="1"/>
  </r>
  <r>
    <x v="380"/>
    <x v="380"/>
    <x v="0"/>
    <x v="2"/>
    <x v="5"/>
    <x v="0"/>
    <x v="2"/>
    <x v="0"/>
    <x v="2"/>
    <x v="0"/>
  </r>
  <r>
    <x v="381"/>
    <x v="381"/>
    <x v="2"/>
    <x v="2"/>
    <x v="7"/>
    <x v="0"/>
    <x v="4"/>
    <x v="0"/>
    <x v="4"/>
    <x v="0"/>
  </r>
  <r>
    <x v="382"/>
    <x v="382"/>
    <x v="1"/>
    <x v="0"/>
    <x v="5"/>
    <x v="1"/>
    <x v="1"/>
    <x v="0"/>
    <x v="1"/>
    <x v="1"/>
  </r>
  <r>
    <x v="383"/>
    <x v="383"/>
    <x v="1"/>
    <x v="0"/>
    <x v="5"/>
    <x v="2"/>
    <x v="11"/>
    <x v="2"/>
    <x v="0"/>
    <x v="0"/>
  </r>
  <r>
    <x v="384"/>
    <x v="384"/>
    <x v="1"/>
    <x v="0"/>
    <x v="6"/>
    <x v="1"/>
    <x v="1"/>
    <x v="0"/>
    <x v="1"/>
    <x v="1"/>
  </r>
  <r>
    <x v="385"/>
    <x v="385"/>
    <x v="4"/>
    <x v="2"/>
    <x v="6"/>
    <x v="1"/>
    <x v="1"/>
    <x v="0"/>
    <x v="1"/>
    <x v="1"/>
  </r>
  <r>
    <x v="386"/>
    <x v="386"/>
    <x v="2"/>
    <x v="1"/>
    <x v="1"/>
    <x v="1"/>
    <x v="1"/>
    <x v="0"/>
    <x v="1"/>
    <x v="1"/>
  </r>
  <r>
    <x v="387"/>
    <x v="387"/>
    <x v="2"/>
    <x v="0"/>
    <x v="1"/>
    <x v="0"/>
    <x v="2"/>
    <x v="0"/>
    <x v="2"/>
    <x v="0"/>
  </r>
  <r>
    <x v="388"/>
    <x v="388"/>
    <x v="1"/>
    <x v="2"/>
    <x v="5"/>
    <x v="0"/>
    <x v="2"/>
    <x v="0"/>
    <x v="2"/>
    <x v="0"/>
  </r>
  <r>
    <x v="389"/>
    <x v="389"/>
    <x v="5"/>
    <x v="0"/>
    <x v="6"/>
    <x v="3"/>
    <x v="15"/>
    <x v="4"/>
    <x v="9"/>
    <x v="0"/>
  </r>
  <r>
    <x v="390"/>
    <x v="390"/>
    <x v="1"/>
    <x v="1"/>
    <x v="6"/>
    <x v="1"/>
    <x v="1"/>
    <x v="0"/>
    <x v="1"/>
    <x v="1"/>
  </r>
  <r>
    <x v="391"/>
    <x v="391"/>
    <x v="2"/>
    <x v="0"/>
    <x v="5"/>
    <x v="2"/>
    <x v="9"/>
    <x v="0"/>
    <x v="9"/>
    <x v="0"/>
  </r>
  <r>
    <x v="392"/>
    <x v="392"/>
    <x v="0"/>
    <x v="0"/>
    <x v="1"/>
    <x v="1"/>
    <x v="1"/>
    <x v="0"/>
    <x v="1"/>
    <x v="1"/>
  </r>
  <r>
    <x v="393"/>
    <x v="393"/>
    <x v="2"/>
    <x v="2"/>
    <x v="7"/>
    <x v="1"/>
    <x v="1"/>
    <x v="0"/>
    <x v="1"/>
    <x v="1"/>
  </r>
  <r>
    <x v="394"/>
    <x v="394"/>
    <x v="3"/>
    <x v="0"/>
    <x v="0"/>
    <x v="0"/>
    <x v="3"/>
    <x v="0"/>
    <x v="3"/>
    <x v="0"/>
  </r>
  <r>
    <x v="395"/>
    <x v="395"/>
    <x v="1"/>
    <x v="1"/>
    <x v="4"/>
    <x v="1"/>
    <x v="1"/>
    <x v="0"/>
    <x v="1"/>
    <x v="1"/>
  </r>
  <r>
    <x v="396"/>
    <x v="396"/>
    <x v="1"/>
    <x v="0"/>
    <x v="5"/>
    <x v="2"/>
    <x v="9"/>
    <x v="0"/>
    <x v="9"/>
    <x v="0"/>
  </r>
  <r>
    <x v="397"/>
    <x v="397"/>
    <x v="0"/>
    <x v="0"/>
    <x v="5"/>
    <x v="1"/>
    <x v="1"/>
    <x v="0"/>
    <x v="1"/>
    <x v="1"/>
  </r>
  <r>
    <x v="398"/>
    <x v="398"/>
    <x v="2"/>
    <x v="2"/>
    <x v="1"/>
    <x v="1"/>
    <x v="1"/>
    <x v="0"/>
    <x v="1"/>
    <x v="1"/>
  </r>
  <r>
    <x v="399"/>
    <x v="399"/>
    <x v="4"/>
    <x v="0"/>
    <x v="3"/>
    <x v="1"/>
    <x v="1"/>
    <x v="0"/>
    <x v="1"/>
    <x v="1"/>
  </r>
  <r>
    <x v="400"/>
    <x v="400"/>
    <x v="2"/>
    <x v="2"/>
    <x v="0"/>
    <x v="0"/>
    <x v="2"/>
    <x v="0"/>
    <x v="2"/>
    <x v="0"/>
  </r>
  <r>
    <x v="401"/>
    <x v="401"/>
    <x v="5"/>
    <x v="2"/>
    <x v="6"/>
    <x v="1"/>
    <x v="1"/>
    <x v="0"/>
    <x v="1"/>
    <x v="1"/>
  </r>
  <r>
    <x v="402"/>
    <x v="402"/>
    <x v="0"/>
    <x v="0"/>
    <x v="6"/>
    <x v="1"/>
    <x v="1"/>
    <x v="0"/>
    <x v="1"/>
    <x v="1"/>
  </r>
  <r>
    <x v="403"/>
    <x v="403"/>
    <x v="2"/>
    <x v="0"/>
    <x v="4"/>
    <x v="0"/>
    <x v="2"/>
    <x v="0"/>
    <x v="2"/>
    <x v="0"/>
  </r>
  <r>
    <x v="404"/>
    <x v="404"/>
    <x v="2"/>
    <x v="2"/>
    <x v="5"/>
    <x v="1"/>
    <x v="1"/>
    <x v="0"/>
    <x v="1"/>
    <x v="1"/>
  </r>
  <r>
    <x v="405"/>
    <x v="405"/>
    <x v="4"/>
    <x v="0"/>
    <x v="1"/>
    <x v="1"/>
    <x v="1"/>
    <x v="0"/>
    <x v="1"/>
    <x v="1"/>
  </r>
  <r>
    <x v="406"/>
    <x v="406"/>
    <x v="2"/>
    <x v="2"/>
    <x v="1"/>
    <x v="0"/>
    <x v="7"/>
    <x v="0"/>
    <x v="6"/>
    <x v="0"/>
  </r>
  <r>
    <x v="407"/>
    <x v="407"/>
    <x v="2"/>
    <x v="0"/>
    <x v="5"/>
    <x v="0"/>
    <x v="4"/>
    <x v="0"/>
    <x v="4"/>
    <x v="0"/>
  </r>
  <r>
    <x v="408"/>
    <x v="408"/>
    <x v="5"/>
    <x v="1"/>
    <x v="2"/>
    <x v="1"/>
    <x v="1"/>
    <x v="0"/>
    <x v="1"/>
    <x v="1"/>
  </r>
  <r>
    <x v="409"/>
    <x v="409"/>
    <x v="4"/>
    <x v="2"/>
    <x v="2"/>
    <x v="1"/>
    <x v="1"/>
    <x v="0"/>
    <x v="1"/>
    <x v="1"/>
  </r>
  <r>
    <x v="410"/>
    <x v="410"/>
    <x v="3"/>
    <x v="0"/>
    <x v="7"/>
    <x v="1"/>
    <x v="1"/>
    <x v="0"/>
    <x v="1"/>
    <x v="1"/>
  </r>
  <r>
    <x v="411"/>
    <x v="411"/>
    <x v="0"/>
    <x v="1"/>
    <x v="6"/>
    <x v="1"/>
    <x v="1"/>
    <x v="0"/>
    <x v="1"/>
    <x v="1"/>
  </r>
  <r>
    <x v="412"/>
    <x v="412"/>
    <x v="5"/>
    <x v="2"/>
    <x v="6"/>
    <x v="1"/>
    <x v="1"/>
    <x v="0"/>
    <x v="1"/>
    <x v="1"/>
  </r>
  <r>
    <x v="413"/>
    <x v="413"/>
    <x v="0"/>
    <x v="2"/>
    <x v="3"/>
    <x v="0"/>
    <x v="0"/>
    <x v="0"/>
    <x v="0"/>
    <x v="0"/>
  </r>
  <r>
    <x v="414"/>
    <x v="414"/>
    <x v="4"/>
    <x v="2"/>
    <x v="7"/>
    <x v="0"/>
    <x v="7"/>
    <x v="0"/>
    <x v="6"/>
    <x v="0"/>
  </r>
  <r>
    <x v="415"/>
    <x v="415"/>
    <x v="2"/>
    <x v="2"/>
    <x v="7"/>
    <x v="1"/>
    <x v="1"/>
    <x v="0"/>
    <x v="1"/>
    <x v="1"/>
  </r>
  <r>
    <x v="416"/>
    <x v="416"/>
    <x v="2"/>
    <x v="1"/>
    <x v="3"/>
    <x v="1"/>
    <x v="1"/>
    <x v="0"/>
    <x v="1"/>
    <x v="1"/>
  </r>
  <r>
    <x v="417"/>
    <x v="417"/>
    <x v="5"/>
    <x v="1"/>
    <x v="7"/>
    <x v="1"/>
    <x v="1"/>
    <x v="0"/>
    <x v="1"/>
    <x v="1"/>
  </r>
  <r>
    <x v="418"/>
    <x v="418"/>
    <x v="4"/>
    <x v="1"/>
    <x v="6"/>
    <x v="1"/>
    <x v="1"/>
    <x v="0"/>
    <x v="1"/>
    <x v="1"/>
  </r>
  <r>
    <x v="419"/>
    <x v="419"/>
    <x v="5"/>
    <x v="0"/>
    <x v="5"/>
    <x v="1"/>
    <x v="1"/>
    <x v="0"/>
    <x v="1"/>
    <x v="1"/>
  </r>
  <r>
    <x v="420"/>
    <x v="420"/>
    <x v="4"/>
    <x v="0"/>
    <x v="1"/>
    <x v="1"/>
    <x v="1"/>
    <x v="0"/>
    <x v="1"/>
    <x v="1"/>
  </r>
  <r>
    <x v="421"/>
    <x v="421"/>
    <x v="2"/>
    <x v="0"/>
    <x v="2"/>
    <x v="1"/>
    <x v="1"/>
    <x v="0"/>
    <x v="1"/>
    <x v="1"/>
  </r>
  <r>
    <x v="422"/>
    <x v="422"/>
    <x v="3"/>
    <x v="0"/>
    <x v="3"/>
    <x v="0"/>
    <x v="4"/>
    <x v="0"/>
    <x v="4"/>
    <x v="0"/>
  </r>
  <r>
    <x v="423"/>
    <x v="423"/>
    <x v="5"/>
    <x v="0"/>
    <x v="7"/>
    <x v="1"/>
    <x v="1"/>
    <x v="0"/>
    <x v="1"/>
    <x v="1"/>
  </r>
  <r>
    <x v="424"/>
    <x v="424"/>
    <x v="3"/>
    <x v="0"/>
    <x v="0"/>
    <x v="1"/>
    <x v="1"/>
    <x v="0"/>
    <x v="1"/>
    <x v="1"/>
  </r>
  <r>
    <x v="425"/>
    <x v="425"/>
    <x v="4"/>
    <x v="0"/>
    <x v="5"/>
    <x v="1"/>
    <x v="1"/>
    <x v="0"/>
    <x v="1"/>
    <x v="1"/>
  </r>
  <r>
    <x v="426"/>
    <x v="426"/>
    <x v="5"/>
    <x v="0"/>
    <x v="3"/>
    <x v="0"/>
    <x v="4"/>
    <x v="0"/>
    <x v="4"/>
    <x v="0"/>
  </r>
  <r>
    <x v="427"/>
    <x v="427"/>
    <x v="1"/>
    <x v="0"/>
    <x v="7"/>
    <x v="1"/>
    <x v="1"/>
    <x v="0"/>
    <x v="1"/>
    <x v="1"/>
  </r>
  <r>
    <x v="428"/>
    <x v="428"/>
    <x v="3"/>
    <x v="2"/>
    <x v="3"/>
    <x v="0"/>
    <x v="0"/>
    <x v="0"/>
    <x v="0"/>
    <x v="0"/>
  </r>
  <r>
    <x v="429"/>
    <x v="429"/>
    <x v="4"/>
    <x v="0"/>
    <x v="5"/>
    <x v="1"/>
    <x v="1"/>
    <x v="0"/>
    <x v="1"/>
    <x v="1"/>
  </r>
  <r>
    <x v="430"/>
    <x v="430"/>
    <x v="2"/>
    <x v="0"/>
    <x v="7"/>
    <x v="0"/>
    <x v="4"/>
    <x v="0"/>
    <x v="4"/>
    <x v="0"/>
  </r>
  <r>
    <x v="431"/>
    <x v="431"/>
    <x v="2"/>
    <x v="2"/>
    <x v="5"/>
    <x v="1"/>
    <x v="1"/>
    <x v="0"/>
    <x v="1"/>
    <x v="1"/>
  </r>
  <r>
    <x v="432"/>
    <x v="432"/>
    <x v="1"/>
    <x v="1"/>
    <x v="7"/>
    <x v="1"/>
    <x v="1"/>
    <x v="0"/>
    <x v="1"/>
    <x v="1"/>
  </r>
  <r>
    <x v="433"/>
    <x v="433"/>
    <x v="0"/>
    <x v="2"/>
    <x v="0"/>
    <x v="1"/>
    <x v="1"/>
    <x v="0"/>
    <x v="1"/>
    <x v="1"/>
  </r>
  <r>
    <x v="434"/>
    <x v="434"/>
    <x v="4"/>
    <x v="0"/>
    <x v="6"/>
    <x v="1"/>
    <x v="1"/>
    <x v="0"/>
    <x v="1"/>
    <x v="1"/>
  </r>
  <r>
    <x v="435"/>
    <x v="435"/>
    <x v="5"/>
    <x v="0"/>
    <x v="2"/>
    <x v="1"/>
    <x v="1"/>
    <x v="0"/>
    <x v="1"/>
    <x v="1"/>
  </r>
  <r>
    <x v="436"/>
    <x v="436"/>
    <x v="1"/>
    <x v="0"/>
    <x v="0"/>
    <x v="0"/>
    <x v="7"/>
    <x v="0"/>
    <x v="6"/>
    <x v="0"/>
  </r>
  <r>
    <x v="437"/>
    <x v="437"/>
    <x v="0"/>
    <x v="1"/>
    <x v="5"/>
    <x v="1"/>
    <x v="1"/>
    <x v="0"/>
    <x v="1"/>
    <x v="1"/>
  </r>
  <r>
    <x v="438"/>
    <x v="438"/>
    <x v="2"/>
    <x v="2"/>
    <x v="7"/>
    <x v="0"/>
    <x v="4"/>
    <x v="0"/>
    <x v="4"/>
    <x v="0"/>
  </r>
  <r>
    <x v="439"/>
    <x v="439"/>
    <x v="5"/>
    <x v="0"/>
    <x v="2"/>
    <x v="1"/>
    <x v="1"/>
    <x v="0"/>
    <x v="1"/>
    <x v="1"/>
  </r>
  <r>
    <x v="440"/>
    <x v="440"/>
    <x v="3"/>
    <x v="0"/>
    <x v="5"/>
    <x v="1"/>
    <x v="1"/>
    <x v="0"/>
    <x v="1"/>
    <x v="1"/>
  </r>
  <r>
    <x v="441"/>
    <x v="441"/>
    <x v="4"/>
    <x v="0"/>
    <x v="1"/>
    <x v="1"/>
    <x v="1"/>
    <x v="0"/>
    <x v="1"/>
    <x v="1"/>
  </r>
  <r>
    <x v="442"/>
    <x v="442"/>
    <x v="4"/>
    <x v="2"/>
    <x v="5"/>
    <x v="2"/>
    <x v="5"/>
    <x v="0"/>
    <x v="8"/>
    <x v="0"/>
  </r>
  <r>
    <x v="443"/>
    <x v="443"/>
    <x v="3"/>
    <x v="0"/>
    <x v="5"/>
    <x v="0"/>
    <x v="8"/>
    <x v="0"/>
    <x v="7"/>
    <x v="0"/>
  </r>
  <r>
    <x v="444"/>
    <x v="444"/>
    <x v="0"/>
    <x v="2"/>
    <x v="0"/>
    <x v="1"/>
    <x v="1"/>
    <x v="0"/>
    <x v="1"/>
    <x v="1"/>
  </r>
  <r>
    <x v="445"/>
    <x v="445"/>
    <x v="1"/>
    <x v="0"/>
    <x v="7"/>
    <x v="1"/>
    <x v="1"/>
    <x v="0"/>
    <x v="1"/>
    <x v="1"/>
  </r>
  <r>
    <x v="446"/>
    <x v="446"/>
    <x v="4"/>
    <x v="1"/>
    <x v="3"/>
    <x v="0"/>
    <x v="2"/>
    <x v="0"/>
    <x v="2"/>
    <x v="0"/>
  </r>
  <r>
    <x v="447"/>
    <x v="447"/>
    <x v="4"/>
    <x v="2"/>
    <x v="0"/>
    <x v="1"/>
    <x v="1"/>
    <x v="0"/>
    <x v="1"/>
    <x v="1"/>
  </r>
  <r>
    <x v="448"/>
    <x v="448"/>
    <x v="3"/>
    <x v="2"/>
    <x v="3"/>
    <x v="1"/>
    <x v="1"/>
    <x v="0"/>
    <x v="1"/>
    <x v="1"/>
  </r>
  <r>
    <x v="449"/>
    <x v="449"/>
    <x v="0"/>
    <x v="0"/>
    <x v="4"/>
    <x v="4"/>
    <x v="16"/>
    <x v="2"/>
    <x v="11"/>
    <x v="0"/>
  </r>
  <r>
    <x v="450"/>
    <x v="450"/>
    <x v="2"/>
    <x v="2"/>
    <x v="5"/>
    <x v="1"/>
    <x v="1"/>
    <x v="0"/>
    <x v="1"/>
    <x v="1"/>
  </r>
  <r>
    <x v="451"/>
    <x v="451"/>
    <x v="3"/>
    <x v="2"/>
    <x v="5"/>
    <x v="0"/>
    <x v="4"/>
    <x v="0"/>
    <x v="4"/>
    <x v="0"/>
  </r>
  <r>
    <x v="452"/>
    <x v="452"/>
    <x v="1"/>
    <x v="1"/>
    <x v="2"/>
    <x v="0"/>
    <x v="4"/>
    <x v="0"/>
    <x v="4"/>
    <x v="0"/>
  </r>
  <r>
    <x v="453"/>
    <x v="453"/>
    <x v="3"/>
    <x v="0"/>
    <x v="2"/>
    <x v="0"/>
    <x v="4"/>
    <x v="0"/>
    <x v="4"/>
    <x v="0"/>
  </r>
  <r>
    <x v="454"/>
    <x v="454"/>
    <x v="0"/>
    <x v="0"/>
    <x v="1"/>
    <x v="0"/>
    <x v="0"/>
    <x v="0"/>
    <x v="0"/>
    <x v="0"/>
  </r>
  <r>
    <x v="455"/>
    <x v="455"/>
    <x v="1"/>
    <x v="1"/>
    <x v="5"/>
    <x v="0"/>
    <x v="4"/>
    <x v="0"/>
    <x v="4"/>
    <x v="0"/>
  </r>
  <r>
    <x v="456"/>
    <x v="456"/>
    <x v="2"/>
    <x v="2"/>
    <x v="4"/>
    <x v="1"/>
    <x v="1"/>
    <x v="0"/>
    <x v="1"/>
    <x v="1"/>
  </r>
  <r>
    <x v="457"/>
    <x v="457"/>
    <x v="5"/>
    <x v="1"/>
    <x v="5"/>
    <x v="1"/>
    <x v="1"/>
    <x v="0"/>
    <x v="1"/>
    <x v="1"/>
  </r>
  <r>
    <x v="458"/>
    <x v="458"/>
    <x v="0"/>
    <x v="2"/>
    <x v="3"/>
    <x v="0"/>
    <x v="2"/>
    <x v="0"/>
    <x v="2"/>
    <x v="0"/>
  </r>
  <r>
    <x v="459"/>
    <x v="459"/>
    <x v="2"/>
    <x v="1"/>
    <x v="4"/>
    <x v="1"/>
    <x v="1"/>
    <x v="0"/>
    <x v="1"/>
    <x v="1"/>
  </r>
  <r>
    <x v="460"/>
    <x v="460"/>
    <x v="5"/>
    <x v="1"/>
    <x v="1"/>
    <x v="1"/>
    <x v="1"/>
    <x v="0"/>
    <x v="1"/>
    <x v="1"/>
  </r>
  <r>
    <x v="461"/>
    <x v="461"/>
    <x v="4"/>
    <x v="1"/>
    <x v="6"/>
    <x v="0"/>
    <x v="2"/>
    <x v="0"/>
    <x v="2"/>
    <x v="0"/>
  </r>
  <r>
    <x v="462"/>
    <x v="462"/>
    <x v="4"/>
    <x v="2"/>
    <x v="6"/>
    <x v="1"/>
    <x v="1"/>
    <x v="0"/>
    <x v="1"/>
    <x v="1"/>
  </r>
  <r>
    <x v="463"/>
    <x v="463"/>
    <x v="2"/>
    <x v="1"/>
    <x v="6"/>
    <x v="1"/>
    <x v="1"/>
    <x v="0"/>
    <x v="1"/>
    <x v="1"/>
  </r>
  <r>
    <x v="464"/>
    <x v="464"/>
    <x v="3"/>
    <x v="0"/>
    <x v="2"/>
    <x v="1"/>
    <x v="1"/>
    <x v="0"/>
    <x v="1"/>
    <x v="1"/>
  </r>
  <r>
    <x v="465"/>
    <x v="465"/>
    <x v="5"/>
    <x v="2"/>
    <x v="0"/>
    <x v="0"/>
    <x v="2"/>
    <x v="0"/>
    <x v="2"/>
    <x v="0"/>
  </r>
  <r>
    <x v="466"/>
    <x v="466"/>
    <x v="5"/>
    <x v="2"/>
    <x v="2"/>
    <x v="1"/>
    <x v="1"/>
    <x v="0"/>
    <x v="1"/>
    <x v="1"/>
  </r>
  <r>
    <x v="467"/>
    <x v="467"/>
    <x v="1"/>
    <x v="2"/>
    <x v="0"/>
    <x v="1"/>
    <x v="1"/>
    <x v="0"/>
    <x v="1"/>
    <x v="1"/>
  </r>
  <r>
    <x v="468"/>
    <x v="468"/>
    <x v="1"/>
    <x v="2"/>
    <x v="0"/>
    <x v="0"/>
    <x v="3"/>
    <x v="0"/>
    <x v="3"/>
    <x v="0"/>
  </r>
  <r>
    <x v="469"/>
    <x v="469"/>
    <x v="5"/>
    <x v="1"/>
    <x v="5"/>
    <x v="1"/>
    <x v="1"/>
    <x v="0"/>
    <x v="1"/>
    <x v="1"/>
  </r>
  <r>
    <x v="470"/>
    <x v="470"/>
    <x v="1"/>
    <x v="1"/>
    <x v="4"/>
    <x v="0"/>
    <x v="0"/>
    <x v="0"/>
    <x v="0"/>
    <x v="0"/>
  </r>
  <r>
    <x v="471"/>
    <x v="471"/>
    <x v="5"/>
    <x v="2"/>
    <x v="7"/>
    <x v="1"/>
    <x v="1"/>
    <x v="0"/>
    <x v="1"/>
    <x v="1"/>
  </r>
  <r>
    <x v="472"/>
    <x v="472"/>
    <x v="3"/>
    <x v="0"/>
    <x v="3"/>
    <x v="1"/>
    <x v="1"/>
    <x v="0"/>
    <x v="1"/>
    <x v="1"/>
  </r>
  <r>
    <x v="473"/>
    <x v="473"/>
    <x v="2"/>
    <x v="2"/>
    <x v="4"/>
    <x v="1"/>
    <x v="1"/>
    <x v="0"/>
    <x v="1"/>
    <x v="1"/>
  </r>
  <r>
    <x v="474"/>
    <x v="474"/>
    <x v="5"/>
    <x v="1"/>
    <x v="5"/>
    <x v="1"/>
    <x v="1"/>
    <x v="0"/>
    <x v="1"/>
    <x v="1"/>
  </r>
  <r>
    <x v="475"/>
    <x v="475"/>
    <x v="4"/>
    <x v="0"/>
    <x v="3"/>
    <x v="1"/>
    <x v="1"/>
    <x v="0"/>
    <x v="1"/>
    <x v="1"/>
  </r>
  <r>
    <x v="476"/>
    <x v="476"/>
    <x v="0"/>
    <x v="1"/>
    <x v="7"/>
    <x v="1"/>
    <x v="1"/>
    <x v="0"/>
    <x v="1"/>
    <x v="1"/>
  </r>
  <r>
    <x v="477"/>
    <x v="477"/>
    <x v="2"/>
    <x v="1"/>
    <x v="3"/>
    <x v="1"/>
    <x v="1"/>
    <x v="0"/>
    <x v="1"/>
    <x v="1"/>
  </r>
  <r>
    <x v="478"/>
    <x v="478"/>
    <x v="0"/>
    <x v="1"/>
    <x v="3"/>
    <x v="0"/>
    <x v="3"/>
    <x v="0"/>
    <x v="3"/>
    <x v="0"/>
  </r>
  <r>
    <x v="479"/>
    <x v="479"/>
    <x v="3"/>
    <x v="0"/>
    <x v="3"/>
    <x v="1"/>
    <x v="1"/>
    <x v="0"/>
    <x v="1"/>
    <x v="1"/>
  </r>
  <r>
    <x v="480"/>
    <x v="480"/>
    <x v="0"/>
    <x v="2"/>
    <x v="2"/>
    <x v="1"/>
    <x v="1"/>
    <x v="0"/>
    <x v="1"/>
    <x v="1"/>
  </r>
  <r>
    <x v="481"/>
    <x v="481"/>
    <x v="1"/>
    <x v="2"/>
    <x v="5"/>
    <x v="0"/>
    <x v="0"/>
    <x v="0"/>
    <x v="0"/>
    <x v="0"/>
  </r>
  <r>
    <x v="482"/>
    <x v="482"/>
    <x v="5"/>
    <x v="1"/>
    <x v="3"/>
    <x v="1"/>
    <x v="1"/>
    <x v="0"/>
    <x v="1"/>
    <x v="1"/>
  </r>
  <r>
    <x v="483"/>
    <x v="483"/>
    <x v="4"/>
    <x v="0"/>
    <x v="5"/>
    <x v="1"/>
    <x v="1"/>
    <x v="0"/>
    <x v="1"/>
    <x v="1"/>
  </r>
  <r>
    <x v="484"/>
    <x v="484"/>
    <x v="5"/>
    <x v="1"/>
    <x v="0"/>
    <x v="1"/>
    <x v="1"/>
    <x v="0"/>
    <x v="1"/>
    <x v="1"/>
  </r>
  <r>
    <x v="485"/>
    <x v="485"/>
    <x v="5"/>
    <x v="1"/>
    <x v="6"/>
    <x v="1"/>
    <x v="1"/>
    <x v="0"/>
    <x v="1"/>
    <x v="1"/>
  </r>
  <r>
    <x v="486"/>
    <x v="486"/>
    <x v="1"/>
    <x v="2"/>
    <x v="7"/>
    <x v="0"/>
    <x v="2"/>
    <x v="0"/>
    <x v="2"/>
    <x v="0"/>
  </r>
  <r>
    <x v="487"/>
    <x v="487"/>
    <x v="0"/>
    <x v="2"/>
    <x v="1"/>
    <x v="1"/>
    <x v="1"/>
    <x v="0"/>
    <x v="1"/>
    <x v="1"/>
  </r>
  <r>
    <x v="488"/>
    <x v="488"/>
    <x v="3"/>
    <x v="1"/>
    <x v="2"/>
    <x v="0"/>
    <x v="0"/>
    <x v="0"/>
    <x v="0"/>
    <x v="0"/>
  </r>
  <r>
    <x v="489"/>
    <x v="489"/>
    <x v="4"/>
    <x v="2"/>
    <x v="7"/>
    <x v="1"/>
    <x v="1"/>
    <x v="0"/>
    <x v="1"/>
    <x v="1"/>
  </r>
  <r>
    <x v="490"/>
    <x v="490"/>
    <x v="1"/>
    <x v="0"/>
    <x v="3"/>
    <x v="0"/>
    <x v="0"/>
    <x v="0"/>
    <x v="0"/>
    <x v="0"/>
  </r>
  <r>
    <x v="491"/>
    <x v="491"/>
    <x v="5"/>
    <x v="0"/>
    <x v="5"/>
    <x v="1"/>
    <x v="1"/>
    <x v="0"/>
    <x v="1"/>
    <x v="1"/>
  </r>
  <r>
    <x v="492"/>
    <x v="492"/>
    <x v="1"/>
    <x v="0"/>
    <x v="2"/>
    <x v="0"/>
    <x v="2"/>
    <x v="0"/>
    <x v="2"/>
    <x v="0"/>
  </r>
  <r>
    <x v="493"/>
    <x v="493"/>
    <x v="1"/>
    <x v="0"/>
    <x v="2"/>
    <x v="1"/>
    <x v="1"/>
    <x v="0"/>
    <x v="1"/>
    <x v="1"/>
  </r>
  <r>
    <x v="494"/>
    <x v="494"/>
    <x v="3"/>
    <x v="0"/>
    <x v="3"/>
    <x v="1"/>
    <x v="1"/>
    <x v="0"/>
    <x v="1"/>
    <x v="1"/>
  </r>
  <r>
    <x v="495"/>
    <x v="495"/>
    <x v="3"/>
    <x v="2"/>
    <x v="4"/>
    <x v="1"/>
    <x v="1"/>
    <x v="0"/>
    <x v="1"/>
    <x v="1"/>
  </r>
  <r>
    <x v="496"/>
    <x v="496"/>
    <x v="1"/>
    <x v="2"/>
    <x v="0"/>
    <x v="1"/>
    <x v="1"/>
    <x v="0"/>
    <x v="1"/>
    <x v="1"/>
  </r>
  <r>
    <x v="497"/>
    <x v="497"/>
    <x v="0"/>
    <x v="2"/>
    <x v="7"/>
    <x v="1"/>
    <x v="1"/>
    <x v="0"/>
    <x v="1"/>
    <x v="1"/>
  </r>
  <r>
    <x v="498"/>
    <x v="498"/>
    <x v="2"/>
    <x v="2"/>
    <x v="6"/>
    <x v="0"/>
    <x v="4"/>
    <x v="0"/>
    <x v="4"/>
    <x v="0"/>
  </r>
  <r>
    <x v="499"/>
    <x v="499"/>
    <x v="2"/>
    <x v="1"/>
    <x v="4"/>
    <x v="0"/>
    <x v="2"/>
    <x v="0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2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0"/>
    <x v="0"/>
    <x v="1"/>
    <x v="1"/>
    <x v="1"/>
    <x v="0"/>
    <x v="0"/>
    <x v="0"/>
    <x v="1"/>
  </r>
  <r>
    <x v="2"/>
    <x v="1"/>
    <x v="0"/>
    <x v="0"/>
    <x v="0"/>
    <x v="0"/>
    <x v="0"/>
    <x v="0"/>
    <x v="1"/>
    <x v="1"/>
    <x v="0"/>
    <x v="0"/>
    <x v="0"/>
    <x v="0"/>
    <x v="0"/>
    <x v="0"/>
    <x v="0"/>
  </r>
  <r>
    <x v="3"/>
    <x v="2"/>
    <x v="0"/>
    <x v="0"/>
    <x v="0"/>
    <x v="0"/>
    <x v="0"/>
    <x v="0"/>
    <x v="2"/>
    <x v="2"/>
    <x v="0"/>
    <x v="0"/>
    <x v="0"/>
    <x v="0"/>
    <x v="0"/>
    <x v="0"/>
    <x v="0"/>
  </r>
  <r>
    <x v="4"/>
    <x v="3"/>
    <x v="0"/>
    <x v="0"/>
    <x v="0"/>
    <x v="0"/>
    <x v="0"/>
    <x v="0"/>
    <x v="3"/>
    <x v="2"/>
    <x v="0"/>
    <x v="0"/>
    <x v="0"/>
    <x v="0"/>
    <x v="0"/>
    <x v="0"/>
    <x v="0"/>
  </r>
  <r>
    <x v="5"/>
    <x v="4"/>
    <x v="0"/>
    <x v="0"/>
    <x v="0"/>
    <x v="0"/>
    <x v="0"/>
    <x v="0"/>
    <x v="2"/>
    <x v="2"/>
    <x v="0"/>
    <x v="0"/>
    <x v="0"/>
    <x v="0"/>
    <x v="0"/>
    <x v="0"/>
    <x v="0"/>
  </r>
  <r>
    <x v="6"/>
    <x v="4"/>
    <x v="1"/>
    <x v="2"/>
    <x v="2"/>
    <x v="1"/>
    <x v="1"/>
    <x v="1"/>
    <x v="2"/>
    <x v="2"/>
    <x v="1"/>
    <x v="1"/>
    <x v="1"/>
    <x v="0"/>
    <x v="0"/>
    <x v="0"/>
    <x v="1"/>
  </r>
  <r>
    <x v="7"/>
    <x v="5"/>
    <x v="0"/>
    <x v="0"/>
    <x v="0"/>
    <x v="0"/>
    <x v="0"/>
    <x v="0"/>
    <x v="4"/>
    <x v="1"/>
    <x v="0"/>
    <x v="0"/>
    <x v="0"/>
    <x v="0"/>
    <x v="0"/>
    <x v="0"/>
    <x v="0"/>
  </r>
  <r>
    <x v="8"/>
    <x v="6"/>
    <x v="0"/>
    <x v="0"/>
    <x v="0"/>
    <x v="0"/>
    <x v="0"/>
    <x v="0"/>
    <x v="1"/>
    <x v="1"/>
    <x v="0"/>
    <x v="0"/>
    <x v="0"/>
    <x v="0"/>
    <x v="0"/>
    <x v="0"/>
    <x v="0"/>
  </r>
  <r>
    <x v="9"/>
    <x v="7"/>
    <x v="0"/>
    <x v="0"/>
    <x v="0"/>
    <x v="0"/>
    <x v="0"/>
    <x v="0"/>
    <x v="2"/>
    <x v="0"/>
    <x v="0"/>
    <x v="0"/>
    <x v="0"/>
    <x v="0"/>
    <x v="0"/>
    <x v="0"/>
    <x v="0"/>
  </r>
  <r>
    <x v="10"/>
    <x v="7"/>
    <x v="0"/>
    <x v="3"/>
    <x v="3"/>
    <x v="1"/>
    <x v="0"/>
    <x v="2"/>
    <x v="2"/>
    <x v="0"/>
    <x v="0"/>
    <x v="0"/>
    <x v="2"/>
    <x v="0"/>
    <x v="0"/>
    <x v="0"/>
    <x v="2"/>
  </r>
  <r>
    <x v="11"/>
    <x v="8"/>
    <x v="0"/>
    <x v="0"/>
    <x v="0"/>
    <x v="0"/>
    <x v="0"/>
    <x v="0"/>
    <x v="0"/>
    <x v="1"/>
    <x v="0"/>
    <x v="0"/>
    <x v="0"/>
    <x v="0"/>
    <x v="0"/>
    <x v="0"/>
    <x v="0"/>
  </r>
  <r>
    <x v="12"/>
    <x v="9"/>
    <x v="0"/>
    <x v="0"/>
    <x v="0"/>
    <x v="0"/>
    <x v="0"/>
    <x v="0"/>
    <x v="0"/>
    <x v="0"/>
    <x v="0"/>
    <x v="0"/>
    <x v="0"/>
    <x v="0"/>
    <x v="0"/>
    <x v="0"/>
    <x v="0"/>
  </r>
  <r>
    <x v="13"/>
    <x v="10"/>
    <x v="0"/>
    <x v="0"/>
    <x v="0"/>
    <x v="0"/>
    <x v="0"/>
    <x v="0"/>
    <x v="5"/>
    <x v="2"/>
    <x v="0"/>
    <x v="0"/>
    <x v="0"/>
    <x v="0"/>
    <x v="0"/>
    <x v="0"/>
    <x v="0"/>
  </r>
  <r>
    <x v="14"/>
    <x v="11"/>
    <x v="0"/>
    <x v="0"/>
    <x v="0"/>
    <x v="0"/>
    <x v="0"/>
    <x v="0"/>
    <x v="3"/>
    <x v="2"/>
    <x v="0"/>
    <x v="0"/>
    <x v="0"/>
    <x v="0"/>
    <x v="0"/>
    <x v="0"/>
    <x v="0"/>
  </r>
  <r>
    <x v="15"/>
    <x v="12"/>
    <x v="0"/>
    <x v="0"/>
    <x v="0"/>
    <x v="0"/>
    <x v="0"/>
    <x v="0"/>
    <x v="5"/>
    <x v="1"/>
    <x v="0"/>
    <x v="0"/>
    <x v="0"/>
    <x v="0"/>
    <x v="0"/>
    <x v="0"/>
    <x v="0"/>
  </r>
  <r>
    <x v="16"/>
    <x v="12"/>
    <x v="1"/>
    <x v="4"/>
    <x v="4"/>
    <x v="1"/>
    <x v="2"/>
    <x v="1"/>
    <x v="5"/>
    <x v="1"/>
    <x v="1"/>
    <x v="1"/>
    <x v="3"/>
    <x v="0"/>
    <x v="0"/>
    <x v="0"/>
    <x v="3"/>
  </r>
  <r>
    <x v="17"/>
    <x v="13"/>
    <x v="0"/>
    <x v="0"/>
    <x v="0"/>
    <x v="0"/>
    <x v="0"/>
    <x v="0"/>
    <x v="0"/>
    <x v="1"/>
    <x v="0"/>
    <x v="0"/>
    <x v="0"/>
    <x v="0"/>
    <x v="0"/>
    <x v="0"/>
    <x v="0"/>
  </r>
  <r>
    <x v="18"/>
    <x v="14"/>
    <x v="0"/>
    <x v="0"/>
    <x v="0"/>
    <x v="0"/>
    <x v="0"/>
    <x v="0"/>
    <x v="2"/>
    <x v="2"/>
    <x v="0"/>
    <x v="0"/>
    <x v="0"/>
    <x v="0"/>
    <x v="0"/>
    <x v="0"/>
    <x v="0"/>
  </r>
  <r>
    <x v="19"/>
    <x v="15"/>
    <x v="1"/>
    <x v="5"/>
    <x v="5"/>
    <x v="1"/>
    <x v="2"/>
    <x v="1"/>
    <x v="1"/>
    <x v="2"/>
    <x v="1"/>
    <x v="1"/>
    <x v="3"/>
    <x v="1"/>
    <x v="0"/>
    <x v="0"/>
    <x v="4"/>
  </r>
  <r>
    <x v="20"/>
    <x v="16"/>
    <x v="2"/>
    <x v="6"/>
    <x v="6"/>
    <x v="1"/>
    <x v="3"/>
    <x v="3"/>
    <x v="0"/>
    <x v="1"/>
    <x v="2"/>
    <x v="2"/>
    <x v="4"/>
    <x v="0"/>
    <x v="0"/>
    <x v="0"/>
    <x v="1"/>
  </r>
  <r>
    <x v="21"/>
    <x v="17"/>
    <x v="2"/>
    <x v="7"/>
    <x v="7"/>
    <x v="1"/>
    <x v="3"/>
    <x v="3"/>
    <x v="4"/>
    <x v="1"/>
    <x v="2"/>
    <x v="2"/>
    <x v="4"/>
    <x v="0"/>
    <x v="0"/>
    <x v="0"/>
    <x v="1"/>
  </r>
  <r>
    <x v="22"/>
    <x v="18"/>
    <x v="2"/>
    <x v="8"/>
    <x v="8"/>
    <x v="1"/>
    <x v="3"/>
    <x v="3"/>
    <x v="4"/>
    <x v="1"/>
    <x v="2"/>
    <x v="2"/>
    <x v="4"/>
    <x v="0"/>
    <x v="0"/>
    <x v="0"/>
    <x v="4"/>
  </r>
  <r>
    <x v="23"/>
    <x v="19"/>
    <x v="0"/>
    <x v="9"/>
    <x v="9"/>
    <x v="1"/>
    <x v="0"/>
    <x v="2"/>
    <x v="2"/>
    <x v="2"/>
    <x v="0"/>
    <x v="0"/>
    <x v="2"/>
    <x v="0"/>
    <x v="0"/>
    <x v="0"/>
    <x v="3"/>
  </r>
  <r>
    <x v="24"/>
    <x v="19"/>
    <x v="1"/>
    <x v="10"/>
    <x v="10"/>
    <x v="1"/>
    <x v="1"/>
    <x v="1"/>
    <x v="2"/>
    <x v="2"/>
    <x v="1"/>
    <x v="1"/>
    <x v="1"/>
    <x v="0"/>
    <x v="1"/>
    <x v="1"/>
    <x v="3"/>
  </r>
  <r>
    <x v="25"/>
    <x v="20"/>
    <x v="0"/>
    <x v="11"/>
    <x v="11"/>
    <x v="1"/>
    <x v="0"/>
    <x v="2"/>
    <x v="1"/>
    <x v="0"/>
    <x v="0"/>
    <x v="0"/>
    <x v="2"/>
    <x v="0"/>
    <x v="0"/>
    <x v="0"/>
    <x v="3"/>
  </r>
  <r>
    <x v="26"/>
    <x v="21"/>
    <x v="1"/>
    <x v="12"/>
    <x v="12"/>
    <x v="1"/>
    <x v="1"/>
    <x v="1"/>
    <x v="4"/>
    <x v="1"/>
    <x v="1"/>
    <x v="1"/>
    <x v="1"/>
    <x v="0"/>
    <x v="0"/>
    <x v="0"/>
    <x v="4"/>
  </r>
  <r>
    <x v="27"/>
    <x v="22"/>
    <x v="2"/>
    <x v="13"/>
    <x v="13"/>
    <x v="1"/>
    <x v="3"/>
    <x v="3"/>
    <x v="2"/>
    <x v="0"/>
    <x v="2"/>
    <x v="2"/>
    <x v="4"/>
    <x v="0"/>
    <x v="0"/>
    <x v="0"/>
    <x v="5"/>
  </r>
  <r>
    <x v="28"/>
    <x v="23"/>
    <x v="0"/>
    <x v="14"/>
    <x v="14"/>
    <x v="1"/>
    <x v="0"/>
    <x v="2"/>
    <x v="2"/>
    <x v="2"/>
    <x v="0"/>
    <x v="0"/>
    <x v="2"/>
    <x v="0"/>
    <x v="0"/>
    <x v="0"/>
    <x v="4"/>
  </r>
  <r>
    <x v="29"/>
    <x v="24"/>
    <x v="1"/>
    <x v="15"/>
    <x v="15"/>
    <x v="1"/>
    <x v="1"/>
    <x v="1"/>
    <x v="3"/>
    <x v="0"/>
    <x v="1"/>
    <x v="1"/>
    <x v="1"/>
    <x v="0"/>
    <x v="0"/>
    <x v="0"/>
    <x v="3"/>
  </r>
  <r>
    <x v="30"/>
    <x v="25"/>
    <x v="2"/>
    <x v="16"/>
    <x v="16"/>
    <x v="1"/>
    <x v="3"/>
    <x v="3"/>
    <x v="2"/>
    <x v="1"/>
    <x v="2"/>
    <x v="2"/>
    <x v="4"/>
    <x v="0"/>
    <x v="0"/>
    <x v="0"/>
    <x v="2"/>
  </r>
  <r>
    <x v="31"/>
    <x v="26"/>
    <x v="2"/>
    <x v="17"/>
    <x v="17"/>
    <x v="1"/>
    <x v="3"/>
    <x v="3"/>
    <x v="0"/>
    <x v="2"/>
    <x v="2"/>
    <x v="2"/>
    <x v="4"/>
    <x v="0"/>
    <x v="0"/>
    <x v="0"/>
    <x v="3"/>
  </r>
  <r>
    <x v="32"/>
    <x v="26"/>
    <x v="2"/>
    <x v="18"/>
    <x v="0"/>
    <x v="2"/>
    <x v="3"/>
    <x v="0"/>
    <x v="0"/>
    <x v="2"/>
    <x v="2"/>
    <x v="2"/>
    <x v="0"/>
    <x v="0"/>
    <x v="0"/>
    <x v="0"/>
    <x v="0"/>
  </r>
  <r>
    <x v="33"/>
    <x v="27"/>
    <x v="1"/>
    <x v="19"/>
    <x v="18"/>
    <x v="1"/>
    <x v="2"/>
    <x v="1"/>
    <x v="0"/>
    <x v="1"/>
    <x v="1"/>
    <x v="1"/>
    <x v="3"/>
    <x v="0"/>
    <x v="0"/>
    <x v="0"/>
    <x v="1"/>
  </r>
  <r>
    <x v="34"/>
    <x v="27"/>
    <x v="0"/>
    <x v="20"/>
    <x v="19"/>
    <x v="1"/>
    <x v="0"/>
    <x v="2"/>
    <x v="0"/>
    <x v="1"/>
    <x v="0"/>
    <x v="0"/>
    <x v="2"/>
    <x v="0"/>
    <x v="0"/>
    <x v="0"/>
    <x v="4"/>
  </r>
  <r>
    <x v="35"/>
    <x v="28"/>
    <x v="2"/>
    <x v="21"/>
    <x v="20"/>
    <x v="1"/>
    <x v="4"/>
    <x v="3"/>
    <x v="3"/>
    <x v="1"/>
    <x v="2"/>
    <x v="2"/>
    <x v="5"/>
    <x v="0"/>
    <x v="0"/>
    <x v="0"/>
    <x v="5"/>
  </r>
  <r>
    <x v="36"/>
    <x v="29"/>
    <x v="1"/>
    <x v="22"/>
    <x v="21"/>
    <x v="1"/>
    <x v="1"/>
    <x v="1"/>
    <x v="4"/>
    <x v="2"/>
    <x v="1"/>
    <x v="1"/>
    <x v="1"/>
    <x v="0"/>
    <x v="0"/>
    <x v="0"/>
    <x v="2"/>
  </r>
  <r>
    <x v="37"/>
    <x v="29"/>
    <x v="2"/>
    <x v="23"/>
    <x v="0"/>
    <x v="2"/>
    <x v="3"/>
    <x v="0"/>
    <x v="4"/>
    <x v="2"/>
    <x v="2"/>
    <x v="2"/>
    <x v="0"/>
    <x v="0"/>
    <x v="0"/>
    <x v="0"/>
    <x v="0"/>
  </r>
  <r>
    <x v="38"/>
    <x v="30"/>
    <x v="1"/>
    <x v="24"/>
    <x v="22"/>
    <x v="1"/>
    <x v="1"/>
    <x v="1"/>
    <x v="3"/>
    <x v="1"/>
    <x v="1"/>
    <x v="1"/>
    <x v="1"/>
    <x v="0"/>
    <x v="0"/>
    <x v="0"/>
    <x v="4"/>
  </r>
  <r>
    <x v="39"/>
    <x v="31"/>
    <x v="2"/>
    <x v="25"/>
    <x v="23"/>
    <x v="1"/>
    <x v="3"/>
    <x v="3"/>
    <x v="0"/>
    <x v="0"/>
    <x v="2"/>
    <x v="2"/>
    <x v="4"/>
    <x v="0"/>
    <x v="0"/>
    <x v="0"/>
    <x v="4"/>
  </r>
  <r>
    <x v="40"/>
    <x v="31"/>
    <x v="2"/>
    <x v="26"/>
    <x v="0"/>
    <x v="2"/>
    <x v="3"/>
    <x v="0"/>
    <x v="0"/>
    <x v="0"/>
    <x v="2"/>
    <x v="2"/>
    <x v="0"/>
    <x v="0"/>
    <x v="0"/>
    <x v="0"/>
    <x v="0"/>
  </r>
  <r>
    <x v="41"/>
    <x v="32"/>
    <x v="1"/>
    <x v="27"/>
    <x v="24"/>
    <x v="1"/>
    <x v="1"/>
    <x v="1"/>
    <x v="4"/>
    <x v="2"/>
    <x v="1"/>
    <x v="1"/>
    <x v="1"/>
    <x v="0"/>
    <x v="0"/>
    <x v="0"/>
    <x v="1"/>
  </r>
  <r>
    <x v="42"/>
    <x v="32"/>
    <x v="0"/>
    <x v="28"/>
    <x v="0"/>
    <x v="2"/>
    <x v="0"/>
    <x v="0"/>
    <x v="4"/>
    <x v="2"/>
    <x v="0"/>
    <x v="0"/>
    <x v="0"/>
    <x v="0"/>
    <x v="0"/>
    <x v="0"/>
    <x v="0"/>
  </r>
  <r>
    <x v="43"/>
    <x v="33"/>
    <x v="2"/>
    <x v="29"/>
    <x v="25"/>
    <x v="1"/>
    <x v="3"/>
    <x v="3"/>
    <x v="5"/>
    <x v="1"/>
    <x v="2"/>
    <x v="2"/>
    <x v="4"/>
    <x v="0"/>
    <x v="0"/>
    <x v="0"/>
    <x v="3"/>
  </r>
  <r>
    <x v="44"/>
    <x v="34"/>
    <x v="0"/>
    <x v="30"/>
    <x v="26"/>
    <x v="1"/>
    <x v="0"/>
    <x v="2"/>
    <x v="0"/>
    <x v="0"/>
    <x v="0"/>
    <x v="0"/>
    <x v="2"/>
    <x v="0"/>
    <x v="0"/>
    <x v="0"/>
    <x v="4"/>
  </r>
  <r>
    <x v="45"/>
    <x v="34"/>
    <x v="0"/>
    <x v="31"/>
    <x v="0"/>
    <x v="2"/>
    <x v="0"/>
    <x v="0"/>
    <x v="0"/>
    <x v="0"/>
    <x v="0"/>
    <x v="0"/>
    <x v="0"/>
    <x v="0"/>
    <x v="0"/>
    <x v="0"/>
    <x v="0"/>
  </r>
  <r>
    <x v="46"/>
    <x v="35"/>
    <x v="1"/>
    <x v="32"/>
    <x v="27"/>
    <x v="1"/>
    <x v="2"/>
    <x v="1"/>
    <x v="5"/>
    <x v="0"/>
    <x v="1"/>
    <x v="1"/>
    <x v="3"/>
    <x v="0"/>
    <x v="0"/>
    <x v="0"/>
    <x v="1"/>
  </r>
  <r>
    <x v="47"/>
    <x v="36"/>
    <x v="1"/>
    <x v="33"/>
    <x v="28"/>
    <x v="1"/>
    <x v="1"/>
    <x v="1"/>
    <x v="3"/>
    <x v="1"/>
    <x v="1"/>
    <x v="1"/>
    <x v="1"/>
    <x v="0"/>
    <x v="0"/>
    <x v="0"/>
    <x v="4"/>
  </r>
  <r>
    <x v="48"/>
    <x v="37"/>
    <x v="1"/>
    <x v="34"/>
    <x v="29"/>
    <x v="1"/>
    <x v="1"/>
    <x v="1"/>
    <x v="0"/>
    <x v="0"/>
    <x v="1"/>
    <x v="1"/>
    <x v="1"/>
    <x v="0"/>
    <x v="0"/>
    <x v="0"/>
    <x v="3"/>
  </r>
  <r>
    <x v="49"/>
    <x v="37"/>
    <x v="2"/>
    <x v="35"/>
    <x v="0"/>
    <x v="2"/>
    <x v="3"/>
    <x v="0"/>
    <x v="0"/>
    <x v="0"/>
    <x v="2"/>
    <x v="2"/>
    <x v="0"/>
    <x v="0"/>
    <x v="0"/>
    <x v="0"/>
    <x v="0"/>
  </r>
  <r>
    <x v="50"/>
    <x v="38"/>
    <x v="1"/>
    <x v="36"/>
    <x v="30"/>
    <x v="1"/>
    <x v="1"/>
    <x v="1"/>
    <x v="1"/>
    <x v="2"/>
    <x v="1"/>
    <x v="1"/>
    <x v="1"/>
    <x v="1"/>
    <x v="0"/>
    <x v="0"/>
    <x v="2"/>
  </r>
  <r>
    <x v="51"/>
    <x v="38"/>
    <x v="0"/>
    <x v="37"/>
    <x v="0"/>
    <x v="2"/>
    <x v="0"/>
    <x v="0"/>
    <x v="1"/>
    <x v="2"/>
    <x v="0"/>
    <x v="0"/>
    <x v="0"/>
    <x v="0"/>
    <x v="0"/>
    <x v="0"/>
    <x v="0"/>
  </r>
  <r>
    <x v="52"/>
    <x v="39"/>
    <x v="0"/>
    <x v="38"/>
    <x v="31"/>
    <x v="1"/>
    <x v="5"/>
    <x v="2"/>
    <x v="5"/>
    <x v="2"/>
    <x v="0"/>
    <x v="0"/>
    <x v="6"/>
    <x v="0"/>
    <x v="0"/>
    <x v="0"/>
    <x v="4"/>
  </r>
  <r>
    <x v="53"/>
    <x v="40"/>
    <x v="2"/>
    <x v="39"/>
    <x v="32"/>
    <x v="1"/>
    <x v="3"/>
    <x v="3"/>
    <x v="0"/>
    <x v="0"/>
    <x v="2"/>
    <x v="2"/>
    <x v="4"/>
    <x v="0"/>
    <x v="0"/>
    <x v="0"/>
    <x v="2"/>
  </r>
  <r>
    <x v="54"/>
    <x v="41"/>
    <x v="2"/>
    <x v="40"/>
    <x v="33"/>
    <x v="1"/>
    <x v="3"/>
    <x v="3"/>
    <x v="4"/>
    <x v="1"/>
    <x v="2"/>
    <x v="2"/>
    <x v="4"/>
    <x v="0"/>
    <x v="0"/>
    <x v="0"/>
    <x v="1"/>
  </r>
  <r>
    <x v="55"/>
    <x v="42"/>
    <x v="2"/>
    <x v="41"/>
    <x v="34"/>
    <x v="1"/>
    <x v="3"/>
    <x v="3"/>
    <x v="1"/>
    <x v="2"/>
    <x v="2"/>
    <x v="2"/>
    <x v="4"/>
    <x v="1"/>
    <x v="0"/>
    <x v="0"/>
    <x v="1"/>
  </r>
  <r>
    <x v="56"/>
    <x v="43"/>
    <x v="1"/>
    <x v="42"/>
    <x v="35"/>
    <x v="1"/>
    <x v="1"/>
    <x v="1"/>
    <x v="3"/>
    <x v="2"/>
    <x v="1"/>
    <x v="1"/>
    <x v="1"/>
    <x v="0"/>
    <x v="0"/>
    <x v="0"/>
    <x v="1"/>
  </r>
  <r>
    <x v="57"/>
    <x v="44"/>
    <x v="1"/>
    <x v="43"/>
    <x v="36"/>
    <x v="1"/>
    <x v="1"/>
    <x v="1"/>
    <x v="5"/>
    <x v="2"/>
    <x v="1"/>
    <x v="1"/>
    <x v="1"/>
    <x v="0"/>
    <x v="0"/>
    <x v="0"/>
    <x v="2"/>
  </r>
  <r>
    <x v="58"/>
    <x v="45"/>
    <x v="1"/>
    <x v="44"/>
    <x v="37"/>
    <x v="1"/>
    <x v="1"/>
    <x v="1"/>
    <x v="4"/>
    <x v="0"/>
    <x v="1"/>
    <x v="1"/>
    <x v="1"/>
    <x v="0"/>
    <x v="0"/>
    <x v="0"/>
    <x v="4"/>
  </r>
  <r>
    <x v="59"/>
    <x v="46"/>
    <x v="1"/>
    <x v="45"/>
    <x v="38"/>
    <x v="1"/>
    <x v="1"/>
    <x v="1"/>
    <x v="1"/>
    <x v="2"/>
    <x v="1"/>
    <x v="1"/>
    <x v="1"/>
    <x v="1"/>
    <x v="0"/>
    <x v="0"/>
    <x v="2"/>
  </r>
  <r>
    <x v="60"/>
    <x v="46"/>
    <x v="2"/>
    <x v="46"/>
    <x v="0"/>
    <x v="2"/>
    <x v="3"/>
    <x v="0"/>
    <x v="1"/>
    <x v="2"/>
    <x v="2"/>
    <x v="2"/>
    <x v="0"/>
    <x v="0"/>
    <x v="0"/>
    <x v="0"/>
    <x v="0"/>
  </r>
  <r>
    <x v="61"/>
    <x v="46"/>
    <x v="2"/>
    <x v="47"/>
    <x v="0"/>
    <x v="2"/>
    <x v="3"/>
    <x v="0"/>
    <x v="1"/>
    <x v="2"/>
    <x v="2"/>
    <x v="2"/>
    <x v="0"/>
    <x v="0"/>
    <x v="0"/>
    <x v="0"/>
    <x v="0"/>
  </r>
  <r>
    <x v="62"/>
    <x v="47"/>
    <x v="2"/>
    <x v="48"/>
    <x v="39"/>
    <x v="1"/>
    <x v="3"/>
    <x v="3"/>
    <x v="1"/>
    <x v="2"/>
    <x v="2"/>
    <x v="2"/>
    <x v="4"/>
    <x v="1"/>
    <x v="0"/>
    <x v="0"/>
    <x v="1"/>
  </r>
  <r>
    <x v="63"/>
    <x v="48"/>
    <x v="2"/>
    <x v="49"/>
    <x v="40"/>
    <x v="1"/>
    <x v="3"/>
    <x v="3"/>
    <x v="0"/>
    <x v="0"/>
    <x v="2"/>
    <x v="2"/>
    <x v="4"/>
    <x v="0"/>
    <x v="0"/>
    <x v="0"/>
    <x v="4"/>
  </r>
  <r>
    <x v="64"/>
    <x v="49"/>
    <x v="1"/>
    <x v="50"/>
    <x v="41"/>
    <x v="1"/>
    <x v="1"/>
    <x v="1"/>
    <x v="1"/>
    <x v="1"/>
    <x v="1"/>
    <x v="1"/>
    <x v="1"/>
    <x v="1"/>
    <x v="0"/>
    <x v="0"/>
    <x v="1"/>
  </r>
  <r>
    <x v="65"/>
    <x v="50"/>
    <x v="2"/>
    <x v="51"/>
    <x v="42"/>
    <x v="1"/>
    <x v="3"/>
    <x v="3"/>
    <x v="3"/>
    <x v="1"/>
    <x v="2"/>
    <x v="2"/>
    <x v="4"/>
    <x v="0"/>
    <x v="0"/>
    <x v="0"/>
    <x v="3"/>
  </r>
  <r>
    <x v="66"/>
    <x v="51"/>
    <x v="2"/>
    <x v="52"/>
    <x v="43"/>
    <x v="1"/>
    <x v="3"/>
    <x v="3"/>
    <x v="0"/>
    <x v="0"/>
    <x v="2"/>
    <x v="2"/>
    <x v="4"/>
    <x v="0"/>
    <x v="0"/>
    <x v="0"/>
    <x v="1"/>
  </r>
  <r>
    <x v="67"/>
    <x v="52"/>
    <x v="0"/>
    <x v="53"/>
    <x v="44"/>
    <x v="1"/>
    <x v="0"/>
    <x v="2"/>
    <x v="4"/>
    <x v="1"/>
    <x v="0"/>
    <x v="0"/>
    <x v="2"/>
    <x v="0"/>
    <x v="0"/>
    <x v="0"/>
    <x v="2"/>
  </r>
  <r>
    <x v="68"/>
    <x v="53"/>
    <x v="2"/>
    <x v="54"/>
    <x v="45"/>
    <x v="1"/>
    <x v="3"/>
    <x v="3"/>
    <x v="3"/>
    <x v="1"/>
    <x v="2"/>
    <x v="2"/>
    <x v="4"/>
    <x v="0"/>
    <x v="0"/>
    <x v="0"/>
    <x v="1"/>
  </r>
  <r>
    <x v="69"/>
    <x v="53"/>
    <x v="1"/>
    <x v="55"/>
    <x v="0"/>
    <x v="2"/>
    <x v="1"/>
    <x v="0"/>
    <x v="3"/>
    <x v="1"/>
    <x v="1"/>
    <x v="1"/>
    <x v="0"/>
    <x v="0"/>
    <x v="0"/>
    <x v="0"/>
    <x v="0"/>
  </r>
  <r>
    <x v="70"/>
    <x v="54"/>
    <x v="0"/>
    <x v="56"/>
    <x v="46"/>
    <x v="1"/>
    <x v="0"/>
    <x v="2"/>
    <x v="1"/>
    <x v="0"/>
    <x v="0"/>
    <x v="0"/>
    <x v="2"/>
    <x v="0"/>
    <x v="0"/>
    <x v="0"/>
    <x v="4"/>
  </r>
  <r>
    <x v="71"/>
    <x v="55"/>
    <x v="1"/>
    <x v="57"/>
    <x v="47"/>
    <x v="1"/>
    <x v="1"/>
    <x v="1"/>
    <x v="2"/>
    <x v="2"/>
    <x v="1"/>
    <x v="1"/>
    <x v="1"/>
    <x v="0"/>
    <x v="0"/>
    <x v="0"/>
    <x v="4"/>
  </r>
  <r>
    <x v="72"/>
    <x v="56"/>
    <x v="1"/>
    <x v="58"/>
    <x v="48"/>
    <x v="1"/>
    <x v="1"/>
    <x v="1"/>
    <x v="5"/>
    <x v="2"/>
    <x v="1"/>
    <x v="1"/>
    <x v="1"/>
    <x v="0"/>
    <x v="0"/>
    <x v="0"/>
    <x v="1"/>
  </r>
  <r>
    <x v="73"/>
    <x v="56"/>
    <x v="0"/>
    <x v="59"/>
    <x v="49"/>
    <x v="1"/>
    <x v="0"/>
    <x v="2"/>
    <x v="5"/>
    <x v="2"/>
    <x v="0"/>
    <x v="0"/>
    <x v="2"/>
    <x v="0"/>
    <x v="0"/>
    <x v="0"/>
    <x v="4"/>
  </r>
  <r>
    <x v="74"/>
    <x v="57"/>
    <x v="2"/>
    <x v="60"/>
    <x v="50"/>
    <x v="1"/>
    <x v="3"/>
    <x v="3"/>
    <x v="1"/>
    <x v="0"/>
    <x v="2"/>
    <x v="2"/>
    <x v="4"/>
    <x v="0"/>
    <x v="0"/>
    <x v="0"/>
    <x v="1"/>
  </r>
  <r>
    <x v="75"/>
    <x v="57"/>
    <x v="0"/>
    <x v="61"/>
    <x v="51"/>
    <x v="1"/>
    <x v="0"/>
    <x v="2"/>
    <x v="1"/>
    <x v="0"/>
    <x v="0"/>
    <x v="0"/>
    <x v="2"/>
    <x v="0"/>
    <x v="0"/>
    <x v="0"/>
    <x v="5"/>
  </r>
  <r>
    <x v="76"/>
    <x v="58"/>
    <x v="2"/>
    <x v="62"/>
    <x v="52"/>
    <x v="1"/>
    <x v="3"/>
    <x v="3"/>
    <x v="5"/>
    <x v="0"/>
    <x v="2"/>
    <x v="2"/>
    <x v="4"/>
    <x v="0"/>
    <x v="0"/>
    <x v="0"/>
    <x v="1"/>
  </r>
  <r>
    <x v="77"/>
    <x v="58"/>
    <x v="2"/>
    <x v="63"/>
    <x v="0"/>
    <x v="2"/>
    <x v="3"/>
    <x v="0"/>
    <x v="5"/>
    <x v="0"/>
    <x v="2"/>
    <x v="2"/>
    <x v="0"/>
    <x v="0"/>
    <x v="0"/>
    <x v="0"/>
    <x v="0"/>
  </r>
  <r>
    <x v="78"/>
    <x v="58"/>
    <x v="1"/>
    <x v="64"/>
    <x v="53"/>
    <x v="1"/>
    <x v="1"/>
    <x v="1"/>
    <x v="5"/>
    <x v="0"/>
    <x v="1"/>
    <x v="1"/>
    <x v="1"/>
    <x v="0"/>
    <x v="1"/>
    <x v="1"/>
    <x v="1"/>
  </r>
  <r>
    <x v="79"/>
    <x v="58"/>
    <x v="0"/>
    <x v="65"/>
    <x v="54"/>
    <x v="1"/>
    <x v="5"/>
    <x v="2"/>
    <x v="5"/>
    <x v="0"/>
    <x v="0"/>
    <x v="0"/>
    <x v="6"/>
    <x v="0"/>
    <x v="0"/>
    <x v="0"/>
    <x v="5"/>
  </r>
  <r>
    <x v="80"/>
    <x v="59"/>
    <x v="2"/>
    <x v="66"/>
    <x v="55"/>
    <x v="1"/>
    <x v="3"/>
    <x v="3"/>
    <x v="4"/>
    <x v="1"/>
    <x v="2"/>
    <x v="2"/>
    <x v="4"/>
    <x v="0"/>
    <x v="0"/>
    <x v="0"/>
    <x v="4"/>
  </r>
  <r>
    <x v="81"/>
    <x v="60"/>
    <x v="1"/>
    <x v="67"/>
    <x v="56"/>
    <x v="1"/>
    <x v="1"/>
    <x v="1"/>
    <x v="5"/>
    <x v="2"/>
    <x v="1"/>
    <x v="1"/>
    <x v="1"/>
    <x v="0"/>
    <x v="0"/>
    <x v="0"/>
    <x v="4"/>
  </r>
  <r>
    <x v="82"/>
    <x v="60"/>
    <x v="0"/>
    <x v="68"/>
    <x v="57"/>
    <x v="1"/>
    <x v="0"/>
    <x v="2"/>
    <x v="5"/>
    <x v="2"/>
    <x v="0"/>
    <x v="0"/>
    <x v="2"/>
    <x v="0"/>
    <x v="0"/>
    <x v="0"/>
    <x v="4"/>
  </r>
  <r>
    <x v="83"/>
    <x v="61"/>
    <x v="1"/>
    <x v="69"/>
    <x v="58"/>
    <x v="1"/>
    <x v="1"/>
    <x v="1"/>
    <x v="0"/>
    <x v="1"/>
    <x v="1"/>
    <x v="1"/>
    <x v="1"/>
    <x v="0"/>
    <x v="0"/>
    <x v="0"/>
    <x v="1"/>
  </r>
  <r>
    <x v="84"/>
    <x v="62"/>
    <x v="2"/>
    <x v="70"/>
    <x v="59"/>
    <x v="1"/>
    <x v="3"/>
    <x v="3"/>
    <x v="3"/>
    <x v="2"/>
    <x v="2"/>
    <x v="2"/>
    <x v="4"/>
    <x v="0"/>
    <x v="0"/>
    <x v="0"/>
    <x v="1"/>
  </r>
  <r>
    <x v="85"/>
    <x v="62"/>
    <x v="0"/>
    <x v="71"/>
    <x v="60"/>
    <x v="1"/>
    <x v="0"/>
    <x v="2"/>
    <x v="3"/>
    <x v="2"/>
    <x v="0"/>
    <x v="0"/>
    <x v="2"/>
    <x v="0"/>
    <x v="0"/>
    <x v="0"/>
    <x v="2"/>
  </r>
  <r>
    <x v="86"/>
    <x v="63"/>
    <x v="0"/>
    <x v="72"/>
    <x v="61"/>
    <x v="1"/>
    <x v="0"/>
    <x v="2"/>
    <x v="0"/>
    <x v="0"/>
    <x v="0"/>
    <x v="0"/>
    <x v="2"/>
    <x v="0"/>
    <x v="0"/>
    <x v="0"/>
    <x v="1"/>
  </r>
  <r>
    <x v="87"/>
    <x v="63"/>
    <x v="1"/>
    <x v="73"/>
    <x v="0"/>
    <x v="2"/>
    <x v="1"/>
    <x v="0"/>
    <x v="0"/>
    <x v="0"/>
    <x v="1"/>
    <x v="1"/>
    <x v="0"/>
    <x v="0"/>
    <x v="0"/>
    <x v="0"/>
    <x v="0"/>
  </r>
  <r>
    <x v="88"/>
    <x v="64"/>
    <x v="2"/>
    <x v="74"/>
    <x v="62"/>
    <x v="1"/>
    <x v="3"/>
    <x v="3"/>
    <x v="2"/>
    <x v="1"/>
    <x v="2"/>
    <x v="2"/>
    <x v="4"/>
    <x v="0"/>
    <x v="0"/>
    <x v="0"/>
    <x v="2"/>
  </r>
  <r>
    <x v="89"/>
    <x v="65"/>
    <x v="1"/>
    <x v="75"/>
    <x v="63"/>
    <x v="1"/>
    <x v="1"/>
    <x v="1"/>
    <x v="1"/>
    <x v="2"/>
    <x v="1"/>
    <x v="1"/>
    <x v="1"/>
    <x v="1"/>
    <x v="0"/>
    <x v="0"/>
    <x v="4"/>
  </r>
  <r>
    <x v="90"/>
    <x v="65"/>
    <x v="0"/>
    <x v="76"/>
    <x v="0"/>
    <x v="2"/>
    <x v="0"/>
    <x v="0"/>
    <x v="1"/>
    <x v="2"/>
    <x v="0"/>
    <x v="0"/>
    <x v="0"/>
    <x v="0"/>
    <x v="0"/>
    <x v="0"/>
    <x v="0"/>
  </r>
  <r>
    <x v="91"/>
    <x v="65"/>
    <x v="1"/>
    <x v="77"/>
    <x v="0"/>
    <x v="2"/>
    <x v="1"/>
    <x v="0"/>
    <x v="1"/>
    <x v="2"/>
    <x v="1"/>
    <x v="1"/>
    <x v="0"/>
    <x v="0"/>
    <x v="0"/>
    <x v="0"/>
    <x v="0"/>
  </r>
  <r>
    <x v="92"/>
    <x v="65"/>
    <x v="2"/>
    <x v="78"/>
    <x v="64"/>
    <x v="1"/>
    <x v="3"/>
    <x v="3"/>
    <x v="1"/>
    <x v="2"/>
    <x v="2"/>
    <x v="2"/>
    <x v="4"/>
    <x v="1"/>
    <x v="1"/>
    <x v="2"/>
    <x v="3"/>
  </r>
  <r>
    <x v="93"/>
    <x v="66"/>
    <x v="2"/>
    <x v="79"/>
    <x v="65"/>
    <x v="1"/>
    <x v="3"/>
    <x v="3"/>
    <x v="1"/>
    <x v="2"/>
    <x v="2"/>
    <x v="2"/>
    <x v="4"/>
    <x v="1"/>
    <x v="0"/>
    <x v="0"/>
    <x v="4"/>
  </r>
  <r>
    <x v="94"/>
    <x v="67"/>
    <x v="1"/>
    <x v="80"/>
    <x v="66"/>
    <x v="1"/>
    <x v="1"/>
    <x v="1"/>
    <x v="1"/>
    <x v="1"/>
    <x v="1"/>
    <x v="1"/>
    <x v="1"/>
    <x v="1"/>
    <x v="0"/>
    <x v="0"/>
    <x v="2"/>
  </r>
  <r>
    <x v="95"/>
    <x v="68"/>
    <x v="2"/>
    <x v="81"/>
    <x v="67"/>
    <x v="1"/>
    <x v="3"/>
    <x v="3"/>
    <x v="0"/>
    <x v="1"/>
    <x v="2"/>
    <x v="2"/>
    <x v="4"/>
    <x v="0"/>
    <x v="0"/>
    <x v="0"/>
    <x v="6"/>
  </r>
  <r>
    <x v="96"/>
    <x v="68"/>
    <x v="2"/>
    <x v="82"/>
    <x v="68"/>
    <x v="1"/>
    <x v="3"/>
    <x v="3"/>
    <x v="0"/>
    <x v="1"/>
    <x v="2"/>
    <x v="2"/>
    <x v="4"/>
    <x v="0"/>
    <x v="1"/>
    <x v="2"/>
    <x v="6"/>
  </r>
  <r>
    <x v="97"/>
    <x v="69"/>
    <x v="2"/>
    <x v="83"/>
    <x v="69"/>
    <x v="1"/>
    <x v="4"/>
    <x v="3"/>
    <x v="4"/>
    <x v="1"/>
    <x v="2"/>
    <x v="2"/>
    <x v="5"/>
    <x v="0"/>
    <x v="0"/>
    <x v="0"/>
    <x v="1"/>
  </r>
  <r>
    <x v="98"/>
    <x v="70"/>
    <x v="1"/>
    <x v="84"/>
    <x v="70"/>
    <x v="1"/>
    <x v="1"/>
    <x v="1"/>
    <x v="1"/>
    <x v="1"/>
    <x v="1"/>
    <x v="1"/>
    <x v="1"/>
    <x v="1"/>
    <x v="0"/>
    <x v="0"/>
    <x v="4"/>
  </r>
  <r>
    <x v="99"/>
    <x v="71"/>
    <x v="1"/>
    <x v="85"/>
    <x v="71"/>
    <x v="1"/>
    <x v="1"/>
    <x v="1"/>
    <x v="3"/>
    <x v="2"/>
    <x v="1"/>
    <x v="1"/>
    <x v="1"/>
    <x v="0"/>
    <x v="0"/>
    <x v="0"/>
    <x v="1"/>
  </r>
  <r>
    <x v="100"/>
    <x v="71"/>
    <x v="0"/>
    <x v="86"/>
    <x v="72"/>
    <x v="1"/>
    <x v="0"/>
    <x v="2"/>
    <x v="3"/>
    <x v="2"/>
    <x v="0"/>
    <x v="0"/>
    <x v="2"/>
    <x v="0"/>
    <x v="0"/>
    <x v="0"/>
    <x v="1"/>
  </r>
  <r>
    <x v="101"/>
    <x v="72"/>
    <x v="2"/>
    <x v="87"/>
    <x v="73"/>
    <x v="1"/>
    <x v="3"/>
    <x v="3"/>
    <x v="4"/>
    <x v="1"/>
    <x v="2"/>
    <x v="2"/>
    <x v="4"/>
    <x v="0"/>
    <x v="0"/>
    <x v="0"/>
    <x v="4"/>
  </r>
  <r>
    <x v="102"/>
    <x v="72"/>
    <x v="0"/>
    <x v="88"/>
    <x v="74"/>
    <x v="1"/>
    <x v="0"/>
    <x v="2"/>
    <x v="4"/>
    <x v="1"/>
    <x v="0"/>
    <x v="0"/>
    <x v="2"/>
    <x v="0"/>
    <x v="0"/>
    <x v="0"/>
    <x v="2"/>
  </r>
  <r>
    <x v="103"/>
    <x v="73"/>
    <x v="1"/>
    <x v="89"/>
    <x v="75"/>
    <x v="1"/>
    <x v="1"/>
    <x v="1"/>
    <x v="3"/>
    <x v="1"/>
    <x v="1"/>
    <x v="1"/>
    <x v="1"/>
    <x v="0"/>
    <x v="0"/>
    <x v="0"/>
    <x v="1"/>
  </r>
  <r>
    <x v="104"/>
    <x v="74"/>
    <x v="2"/>
    <x v="90"/>
    <x v="76"/>
    <x v="1"/>
    <x v="3"/>
    <x v="3"/>
    <x v="0"/>
    <x v="2"/>
    <x v="2"/>
    <x v="2"/>
    <x v="4"/>
    <x v="0"/>
    <x v="0"/>
    <x v="0"/>
    <x v="2"/>
  </r>
  <r>
    <x v="105"/>
    <x v="75"/>
    <x v="2"/>
    <x v="91"/>
    <x v="77"/>
    <x v="1"/>
    <x v="3"/>
    <x v="3"/>
    <x v="1"/>
    <x v="1"/>
    <x v="2"/>
    <x v="2"/>
    <x v="4"/>
    <x v="1"/>
    <x v="0"/>
    <x v="0"/>
    <x v="3"/>
  </r>
  <r>
    <x v="106"/>
    <x v="76"/>
    <x v="2"/>
    <x v="92"/>
    <x v="78"/>
    <x v="1"/>
    <x v="3"/>
    <x v="3"/>
    <x v="0"/>
    <x v="2"/>
    <x v="2"/>
    <x v="2"/>
    <x v="4"/>
    <x v="0"/>
    <x v="0"/>
    <x v="0"/>
    <x v="1"/>
  </r>
  <r>
    <x v="107"/>
    <x v="76"/>
    <x v="0"/>
    <x v="93"/>
    <x v="79"/>
    <x v="1"/>
    <x v="0"/>
    <x v="2"/>
    <x v="0"/>
    <x v="2"/>
    <x v="0"/>
    <x v="0"/>
    <x v="2"/>
    <x v="0"/>
    <x v="0"/>
    <x v="0"/>
    <x v="3"/>
  </r>
  <r>
    <x v="108"/>
    <x v="77"/>
    <x v="0"/>
    <x v="94"/>
    <x v="80"/>
    <x v="1"/>
    <x v="0"/>
    <x v="2"/>
    <x v="4"/>
    <x v="2"/>
    <x v="0"/>
    <x v="0"/>
    <x v="2"/>
    <x v="0"/>
    <x v="0"/>
    <x v="0"/>
    <x v="3"/>
  </r>
  <r>
    <x v="109"/>
    <x v="77"/>
    <x v="2"/>
    <x v="95"/>
    <x v="81"/>
    <x v="1"/>
    <x v="3"/>
    <x v="3"/>
    <x v="4"/>
    <x v="2"/>
    <x v="2"/>
    <x v="2"/>
    <x v="4"/>
    <x v="0"/>
    <x v="1"/>
    <x v="2"/>
    <x v="2"/>
  </r>
  <r>
    <x v="110"/>
    <x v="77"/>
    <x v="2"/>
    <x v="96"/>
    <x v="82"/>
    <x v="1"/>
    <x v="3"/>
    <x v="3"/>
    <x v="4"/>
    <x v="2"/>
    <x v="2"/>
    <x v="2"/>
    <x v="4"/>
    <x v="0"/>
    <x v="1"/>
    <x v="2"/>
    <x v="2"/>
  </r>
  <r>
    <x v="111"/>
    <x v="78"/>
    <x v="0"/>
    <x v="97"/>
    <x v="83"/>
    <x v="1"/>
    <x v="0"/>
    <x v="2"/>
    <x v="2"/>
    <x v="1"/>
    <x v="0"/>
    <x v="0"/>
    <x v="2"/>
    <x v="0"/>
    <x v="0"/>
    <x v="0"/>
    <x v="4"/>
  </r>
  <r>
    <x v="112"/>
    <x v="79"/>
    <x v="1"/>
    <x v="98"/>
    <x v="84"/>
    <x v="1"/>
    <x v="1"/>
    <x v="1"/>
    <x v="3"/>
    <x v="2"/>
    <x v="1"/>
    <x v="1"/>
    <x v="1"/>
    <x v="0"/>
    <x v="0"/>
    <x v="0"/>
    <x v="4"/>
  </r>
  <r>
    <x v="113"/>
    <x v="79"/>
    <x v="0"/>
    <x v="99"/>
    <x v="85"/>
    <x v="1"/>
    <x v="0"/>
    <x v="2"/>
    <x v="3"/>
    <x v="2"/>
    <x v="0"/>
    <x v="0"/>
    <x v="2"/>
    <x v="0"/>
    <x v="0"/>
    <x v="0"/>
    <x v="3"/>
  </r>
  <r>
    <x v="114"/>
    <x v="80"/>
    <x v="2"/>
    <x v="100"/>
    <x v="86"/>
    <x v="1"/>
    <x v="3"/>
    <x v="3"/>
    <x v="3"/>
    <x v="2"/>
    <x v="2"/>
    <x v="2"/>
    <x v="4"/>
    <x v="0"/>
    <x v="0"/>
    <x v="0"/>
    <x v="3"/>
  </r>
  <r>
    <x v="115"/>
    <x v="81"/>
    <x v="1"/>
    <x v="101"/>
    <x v="87"/>
    <x v="1"/>
    <x v="2"/>
    <x v="1"/>
    <x v="5"/>
    <x v="1"/>
    <x v="1"/>
    <x v="1"/>
    <x v="3"/>
    <x v="0"/>
    <x v="0"/>
    <x v="0"/>
    <x v="4"/>
  </r>
  <r>
    <x v="116"/>
    <x v="81"/>
    <x v="0"/>
    <x v="102"/>
    <x v="88"/>
    <x v="1"/>
    <x v="0"/>
    <x v="2"/>
    <x v="5"/>
    <x v="1"/>
    <x v="0"/>
    <x v="0"/>
    <x v="2"/>
    <x v="0"/>
    <x v="1"/>
    <x v="3"/>
    <x v="3"/>
  </r>
  <r>
    <x v="117"/>
    <x v="82"/>
    <x v="2"/>
    <x v="103"/>
    <x v="89"/>
    <x v="1"/>
    <x v="3"/>
    <x v="3"/>
    <x v="5"/>
    <x v="0"/>
    <x v="2"/>
    <x v="2"/>
    <x v="4"/>
    <x v="0"/>
    <x v="0"/>
    <x v="0"/>
    <x v="4"/>
  </r>
  <r>
    <x v="118"/>
    <x v="82"/>
    <x v="2"/>
    <x v="104"/>
    <x v="90"/>
    <x v="1"/>
    <x v="3"/>
    <x v="3"/>
    <x v="5"/>
    <x v="0"/>
    <x v="2"/>
    <x v="2"/>
    <x v="4"/>
    <x v="0"/>
    <x v="1"/>
    <x v="2"/>
    <x v="4"/>
  </r>
  <r>
    <x v="119"/>
    <x v="82"/>
    <x v="0"/>
    <x v="105"/>
    <x v="91"/>
    <x v="1"/>
    <x v="0"/>
    <x v="2"/>
    <x v="5"/>
    <x v="0"/>
    <x v="0"/>
    <x v="0"/>
    <x v="2"/>
    <x v="0"/>
    <x v="0"/>
    <x v="0"/>
    <x v="3"/>
  </r>
  <r>
    <x v="120"/>
    <x v="83"/>
    <x v="1"/>
    <x v="106"/>
    <x v="92"/>
    <x v="1"/>
    <x v="1"/>
    <x v="1"/>
    <x v="5"/>
    <x v="2"/>
    <x v="1"/>
    <x v="1"/>
    <x v="1"/>
    <x v="0"/>
    <x v="0"/>
    <x v="0"/>
    <x v="4"/>
  </r>
  <r>
    <x v="121"/>
    <x v="84"/>
    <x v="1"/>
    <x v="107"/>
    <x v="93"/>
    <x v="1"/>
    <x v="1"/>
    <x v="1"/>
    <x v="1"/>
    <x v="2"/>
    <x v="1"/>
    <x v="1"/>
    <x v="1"/>
    <x v="1"/>
    <x v="0"/>
    <x v="0"/>
    <x v="4"/>
  </r>
  <r>
    <x v="122"/>
    <x v="85"/>
    <x v="1"/>
    <x v="108"/>
    <x v="94"/>
    <x v="1"/>
    <x v="1"/>
    <x v="1"/>
    <x v="1"/>
    <x v="2"/>
    <x v="1"/>
    <x v="1"/>
    <x v="1"/>
    <x v="1"/>
    <x v="0"/>
    <x v="0"/>
    <x v="2"/>
  </r>
  <r>
    <x v="123"/>
    <x v="86"/>
    <x v="1"/>
    <x v="109"/>
    <x v="95"/>
    <x v="1"/>
    <x v="1"/>
    <x v="1"/>
    <x v="3"/>
    <x v="0"/>
    <x v="1"/>
    <x v="1"/>
    <x v="1"/>
    <x v="0"/>
    <x v="0"/>
    <x v="0"/>
    <x v="2"/>
  </r>
  <r>
    <x v="124"/>
    <x v="87"/>
    <x v="1"/>
    <x v="110"/>
    <x v="96"/>
    <x v="1"/>
    <x v="1"/>
    <x v="1"/>
    <x v="3"/>
    <x v="1"/>
    <x v="1"/>
    <x v="1"/>
    <x v="1"/>
    <x v="0"/>
    <x v="0"/>
    <x v="0"/>
    <x v="1"/>
  </r>
  <r>
    <x v="125"/>
    <x v="87"/>
    <x v="1"/>
    <x v="111"/>
    <x v="0"/>
    <x v="2"/>
    <x v="1"/>
    <x v="0"/>
    <x v="3"/>
    <x v="1"/>
    <x v="1"/>
    <x v="1"/>
    <x v="0"/>
    <x v="0"/>
    <x v="0"/>
    <x v="0"/>
    <x v="0"/>
  </r>
  <r>
    <x v="126"/>
    <x v="87"/>
    <x v="1"/>
    <x v="112"/>
    <x v="0"/>
    <x v="2"/>
    <x v="1"/>
    <x v="0"/>
    <x v="3"/>
    <x v="1"/>
    <x v="1"/>
    <x v="1"/>
    <x v="0"/>
    <x v="0"/>
    <x v="0"/>
    <x v="0"/>
    <x v="0"/>
  </r>
  <r>
    <x v="127"/>
    <x v="87"/>
    <x v="0"/>
    <x v="113"/>
    <x v="97"/>
    <x v="1"/>
    <x v="0"/>
    <x v="2"/>
    <x v="3"/>
    <x v="1"/>
    <x v="0"/>
    <x v="0"/>
    <x v="2"/>
    <x v="0"/>
    <x v="0"/>
    <x v="0"/>
    <x v="4"/>
  </r>
  <r>
    <x v="128"/>
    <x v="88"/>
    <x v="1"/>
    <x v="114"/>
    <x v="98"/>
    <x v="1"/>
    <x v="1"/>
    <x v="1"/>
    <x v="3"/>
    <x v="1"/>
    <x v="1"/>
    <x v="1"/>
    <x v="1"/>
    <x v="0"/>
    <x v="0"/>
    <x v="0"/>
    <x v="4"/>
  </r>
  <r>
    <x v="129"/>
    <x v="88"/>
    <x v="2"/>
    <x v="115"/>
    <x v="99"/>
    <x v="1"/>
    <x v="3"/>
    <x v="3"/>
    <x v="3"/>
    <x v="1"/>
    <x v="2"/>
    <x v="2"/>
    <x v="4"/>
    <x v="0"/>
    <x v="1"/>
    <x v="2"/>
    <x v="4"/>
  </r>
  <r>
    <x v="130"/>
    <x v="89"/>
    <x v="2"/>
    <x v="116"/>
    <x v="100"/>
    <x v="1"/>
    <x v="3"/>
    <x v="3"/>
    <x v="2"/>
    <x v="1"/>
    <x v="2"/>
    <x v="2"/>
    <x v="4"/>
    <x v="0"/>
    <x v="0"/>
    <x v="0"/>
    <x v="4"/>
  </r>
  <r>
    <x v="131"/>
    <x v="90"/>
    <x v="0"/>
    <x v="117"/>
    <x v="101"/>
    <x v="1"/>
    <x v="5"/>
    <x v="2"/>
    <x v="1"/>
    <x v="0"/>
    <x v="0"/>
    <x v="0"/>
    <x v="6"/>
    <x v="0"/>
    <x v="0"/>
    <x v="0"/>
    <x v="3"/>
  </r>
  <r>
    <x v="132"/>
    <x v="90"/>
    <x v="0"/>
    <x v="118"/>
    <x v="0"/>
    <x v="2"/>
    <x v="0"/>
    <x v="0"/>
    <x v="1"/>
    <x v="0"/>
    <x v="0"/>
    <x v="0"/>
    <x v="0"/>
    <x v="0"/>
    <x v="0"/>
    <x v="0"/>
    <x v="0"/>
  </r>
  <r>
    <x v="133"/>
    <x v="91"/>
    <x v="1"/>
    <x v="119"/>
    <x v="102"/>
    <x v="1"/>
    <x v="1"/>
    <x v="1"/>
    <x v="4"/>
    <x v="2"/>
    <x v="1"/>
    <x v="1"/>
    <x v="1"/>
    <x v="0"/>
    <x v="0"/>
    <x v="0"/>
    <x v="4"/>
  </r>
  <r>
    <x v="134"/>
    <x v="91"/>
    <x v="1"/>
    <x v="120"/>
    <x v="0"/>
    <x v="2"/>
    <x v="1"/>
    <x v="0"/>
    <x v="4"/>
    <x v="2"/>
    <x v="1"/>
    <x v="1"/>
    <x v="0"/>
    <x v="0"/>
    <x v="0"/>
    <x v="0"/>
    <x v="0"/>
  </r>
  <r>
    <x v="135"/>
    <x v="92"/>
    <x v="1"/>
    <x v="121"/>
    <x v="103"/>
    <x v="1"/>
    <x v="1"/>
    <x v="1"/>
    <x v="4"/>
    <x v="2"/>
    <x v="1"/>
    <x v="1"/>
    <x v="1"/>
    <x v="0"/>
    <x v="0"/>
    <x v="0"/>
    <x v="5"/>
  </r>
  <r>
    <x v="136"/>
    <x v="93"/>
    <x v="2"/>
    <x v="122"/>
    <x v="104"/>
    <x v="1"/>
    <x v="3"/>
    <x v="3"/>
    <x v="5"/>
    <x v="0"/>
    <x v="2"/>
    <x v="2"/>
    <x v="4"/>
    <x v="0"/>
    <x v="0"/>
    <x v="0"/>
    <x v="2"/>
  </r>
  <r>
    <x v="137"/>
    <x v="94"/>
    <x v="0"/>
    <x v="123"/>
    <x v="105"/>
    <x v="1"/>
    <x v="0"/>
    <x v="2"/>
    <x v="3"/>
    <x v="2"/>
    <x v="0"/>
    <x v="0"/>
    <x v="2"/>
    <x v="0"/>
    <x v="0"/>
    <x v="0"/>
    <x v="1"/>
  </r>
  <r>
    <x v="138"/>
    <x v="95"/>
    <x v="2"/>
    <x v="124"/>
    <x v="106"/>
    <x v="1"/>
    <x v="3"/>
    <x v="3"/>
    <x v="1"/>
    <x v="1"/>
    <x v="2"/>
    <x v="2"/>
    <x v="4"/>
    <x v="1"/>
    <x v="0"/>
    <x v="0"/>
    <x v="4"/>
  </r>
  <r>
    <x v="139"/>
    <x v="95"/>
    <x v="1"/>
    <x v="125"/>
    <x v="107"/>
    <x v="1"/>
    <x v="1"/>
    <x v="1"/>
    <x v="1"/>
    <x v="1"/>
    <x v="1"/>
    <x v="1"/>
    <x v="1"/>
    <x v="1"/>
    <x v="1"/>
    <x v="1"/>
    <x v="4"/>
  </r>
  <r>
    <x v="140"/>
    <x v="95"/>
    <x v="0"/>
    <x v="126"/>
    <x v="108"/>
    <x v="1"/>
    <x v="0"/>
    <x v="2"/>
    <x v="1"/>
    <x v="1"/>
    <x v="0"/>
    <x v="0"/>
    <x v="2"/>
    <x v="1"/>
    <x v="0"/>
    <x v="0"/>
    <x v="2"/>
  </r>
  <r>
    <x v="141"/>
    <x v="95"/>
    <x v="1"/>
    <x v="127"/>
    <x v="109"/>
    <x v="1"/>
    <x v="1"/>
    <x v="1"/>
    <x v="1"/>
    <x v="1"/>
    <x v="1"/>
    <x v="1"/>
    <x v="1"/>
    <x v="1"/>
    <x v="1"/>
    <x v="1"/>
    <x v="5"/>
  </r>
  <r>
    <x v="142"/>
    <x v="96"/>
    <x v="0"/>
    <x v="128"/>
    <x v="110"/>
    <x v="1"/>
    <x v="0"/>
    <x v="2"/>
    <x v="1"/>
    <x v="1"/>
    <x v="0"/>
    <x v="0"/>
    <x v="2"/>
    <x v="1"/>
    <x v="0"/>
    <x v="0"/>
    <x v="1"/>
  </r>
  <r>
    <x v="143"/>
    <x v="96"/>
    <x v="0"/>
    <x v="129"/>
    <x v="0"/>
    <x v="2"/>
    <x v="0"/>
    <x v="0"/>
    <x v="1"/>
    <x v="1"/>
    <x v="0"/>
    <x v="0"/>
    <x v="0"/>
    <x v="0"/>
    <x v="0"/>
    <x v="0"/>
    <x v="0"/>
  </r>
  <r>
    <x v="144"/>
    <x v="97"/>
    <x v="0"/>
    <x v="130"/>
    <x v="111"/>
    <x v="1"/>
    <x v="0"/>
    <x v="2"/>
    <x v="4"/>
    <x v="1"/>
    <x v="0"/>
    <x v="0"/>
    <x v="2"/>
    <x v="0"/>
    <x v="0"/>
    <x v="0"/>
    <x v="4"/>
  </r>
  <r>
    <x v="145"/>
    <x v="98"/>
    <x v="2"/>
    <x v="131"/>
    <x v="0"/>
    <x v="2"/>
    <x v="4"/>
    <x v="0"/>
    <x v="2"/>
    <x v="1"/>
    <x v="2"/>
    <x v="2"/>
    <x v="0"/>
    <x v="0"/>
    <x v="0"/>
    <x v="0"/>
    <x v="0"/>
  </r>
  <r>
    <x v="146"/>
    <x v="99"/>
    <x v="0"/>
    <x v="132"/>
    <x v="112"/>
    <x v="1"/>
    <x v="0"/>
    <x v="2"/>
    <x v="0"/>
    <x v="2"/>
    <x v="0"/>
    <x v="0"/>
    <x v="2"/>
    <x v="0"/>
    <x v="0"/>
    <x v="0"/>
    <x v="5"/>
  </r>
  <r>
    <x v="147"/>
    <x v="100"/>
    <x v="2"/>
    <x v="133"/>
    <x v="113"/>
    <x v="1"/>
    <x v="3"/>
    <x v="3"/>
    <x v="2"/>
    <x v="2"/>
    <x v="2"/>
    <x v="2"/>
    <x v="4"/>
    <x v="0"/>
    <x v="0"/>
    <x v="0"/>
    <x v="4"/>
  </r>
  <r>
    <x v="148"/>
    <x v="101"/>
    <x v="1"/>
    <x v="134"/>
    <x v="114"/>
    <x v="1"/>
    <x v="1"/>
    <x v="1"/>
    <x v="1"/>
    <x v="0"/>
    <x v="1"/>
    <x v="1"/>
    <x v="1"/>
    <x v="0"/>
    <x v="0"/>
    <x v="0"/>
    <x v="6"/>
  </r>
  <r>
    <x v="149"/>
    <x v="101"/>
    <x v="2"/>
    <x v="135"/>
    <x v="115"/>
    <x v="1"/>
    <x v="3"/>
    <x v="3"/>
    <x v="1"/>
    <x v="0"/>
    <x v="2"/>
    <x v="2"/>
    <x v="4"/>
    <x v="0"/>
    <x v="1"/>
    <x v="2"/>
    <x v="6"/>
  </r>
  <r>
    <x v="150"/>
    <x v="102"/>
    <x v="0"/>
    <x v="136"/>
    <x v="116"/>
    <x v="1"/>
    <x v="0"/>
    <x v="2"/>
    <x v="2"/>
    <x v="0"/>
    <x v="0"/>
    <x v="0"/>
    <x v="2"/>
    <x v="0"/>
    <x v="0"/>
    <x v="0"/>
    <x v="3"/>
  </r>
  <r>
    <x v="151"/>
    <x v="103"/>
    <x v="0"/>
    <x v="137"/>
    <x v="117"/>
    <x v="1"/>
    <x v="0"/>
    <x v="2"/>
    <x v="1"/>
    <x v="2"/>
    <x v="0"/>
    <x v="0"/>
    <x v="2"/>
    <x v="1"/>
    <x v="0"/>
    <x v="0"/>
    <x v="3"/>
  </r>
  <r>
    <x v="152"/>
    <x v="104"/>
    <x v="2"/>
    <x v="138"/>
    <x v="118"/>
    <x v="1"/>
    <x v="3"/>
    <x v="3"/>
    <x v="5"/>
    <x v="0"/>
    <x v="2"/>
    <x v="2"/>
    <x v="4"/>
    <x v="0"/>
    <x v="0"/>
    <x v="0"/>
    <x v="1"/>
  </r>
  <r>
    <x v="153"/>
    <x v="104"/>
    <x v="0"/>
    <x v="139"/>
    <x v="119"/>
    <x v="1"/>
    <x v="0"/>
    <x v="2"/>
    <x v="5"/>
    <x v="0"/>
    <x v="0"/>
    <x v="0"/>
    <x v="2"/>
    <x v="0"/>
    <x v="1"/>
    <x v="3"/>
    <x v="1"/>
  </r>
  <r>
    <x v="154"/>
    <x v="104"/>
    <x v="0"/>
    <x v="140"/>
    <x v="120"/>
    <x v="1"/>
    <x v="0"/>
    <x v="2"/>
    <x v="5"/>
    <x v="0"/>
    <x v="0"/>
    <x v="0"/>
    <x v="2"/>
    <x v="0"/>
    <x v="0"/>
    <x v="0"/>
    <x v="4"/>
  </r>
  <r>
    <x v="155"/>
    <x v="105"/>
    <x v="2"/>
    <x v="141"/>
    <x v="121"/>
    <x v="1"/>
    <x v="3"/>
    <x v="3"/>
    <x v="2"/>
    <x v="0"/>
    <x v="2"/>
    <x v="2"/>
    <x v="4"/>
    <x v="0"/>
    <x v="0"/>
    <x v="0"/>
    <x v="3"/>
  </r>
  <r>
    <x v="156"/>
    <x v="105"/>
    <x v="0"/>
    <x v="142"/>
    <x v="122"/>
    <x v="1"/>
    <x v="0"/>
    <x v="2"/>
    <x v="2"/>
    <x v="0"/>
    <x v="0"/>
    <x v="0"/>
    <x v="2"/>
    <x v="0"/>
    <x v="0"/>
    <x v="0"/>
    <x v="2"/>
  </r>
  <r>
    <x v="157"/>
    <x v="106"/>
    <x v="1"/>
    <x v="143"/>
    <x v="123"/>
    <x v="1"/>
    <x v="2"/>
    <x v="1"/>
    <x v="3"/>
    <x v="0"/>
    <x v="1"/>
    <x v="1"/>
    <x v="3"/>
    <x v="0"/>
    <x v="0"/>
    <x v="0"/>
    <x v="1"/>
  </r>
  <r>
    <x v="158"/>
    <x v="107"/>
    <x v="2"/>
    <x v="144"/>
    <x v="124"/>
    <x v="1"/>
    <x v="3"/>
    <x v="3"/>
    <x v="1"/>
    <x v="0"/>
    <x v="2"/>
    <x v="2"/>
    <x v="4"/>
    <x v="0"/>
    <x v="0"/>
    <x v="0"/>
    <x v="1"/>
  </r>
  <r>
    <x v="159"/>
    <x v="107"/>
    <x v="0"/>
    <x v="145"/>
    <x v="125"/>
    <x v="1"/>
    <x v="0"/>
    <x v="2"/>
    <x v="1"/>
    <x v="0"/>
    <x v="0"/>
    <x v="0"/>
    <x v="2"/>
    <x v="0"/>
    <x v="0"/>
    <x v="0"/>
    <x v="5"/>
  </r>
  <r>
    <x v="160"/>
    <x v="108"/>
    <x v="0"/>
    <x v="146"/>
    <x v="126"/>
    <x v="1"/>
    <x v="0"/>
    <x v="2"/>
    <x v="2"/>
    <x v="2"/>
    <x v="0"/>
    <x v="0"/>
    <x v="2"/>
    <x v="0"/>
    <x v="0"/>
    <x v="0"/>
    <x v="1"/>
  </r>
  <r>
    <x v="161"/>
    <x v="109"/>
    <x v="0"/>
    <x v="147"/>
    <x v="127"/>
    <x v="1"/>
    <x v="0"/>
    <x v="2"/>
    <x v="2"/>
    <x v="0"/>
    <x v="0"/>
    <x v="0"/>
    <x v="2"/>
    <x v="0"/>
    <x v="0"/>
    <x v="0"/>
    <x v="1"/>
  </r>
  <r>
    <x v="162"/>
    <x v="110"/>
    <x v="2"/>
    <x v="148"/>
    <x v="128"/>
    <x v="1"/>
    <x v="4"/>
    <x v="3"/>
    <x v="2"/>
    <x v="2"/>
    <x v="2"/>
    <x v="2"/>
    <x v="5"/>
    <x v="0"/>
    <x v="0"/>
    <x v="0"/>
    <x v="4"/>
  </r>
  <r>
    <x v="163"/>
    <x v="111"/>
    <x v="2"/>
    <x v="149"/>
    <x v="129"/>
    <x v="1"/>
    <x v="3"/>
    <x v="3"/>
    <x v="2"/>
    <x v="0"/>
    <x v="2"/>
    <x v="2"/>
    <x v="4"/>
    <x v="0"/>
    <x v="0"/>
    <x v="0"/>
    <x v="3"/>
  </r>
  <r>
    <x v="164"/>
    <x v="112"/>
    <x v="1"/>
    <x v="150"/>
    <x v="130"/>
    <x v="1"/>
    <x v="1"/>
    <x v="1"/>
    <x v="0"/>
    <x v="2"/>
    <x v="1"/>
    <x v="1"/>
    <x v="1"/>
    <x v="0"/>
    <x v="0"/>
    <x v="0"/>
    <x v="2"/>
  </r>
  <r>
    <x v="165"/>
    <x v="113"/>
    <x v="2"/>
    <x v="151"/>
    <x v="131"/>
    <x v="1"/>
    <x v="4"/>
    <x v="3"/>
    <x v="4"/>
    <x v="2"/>
    <x v="2"/>
    <x v="2"/>
    <x v="5"/>
    <x v="0"/>
    <x v="0"/>
    <x v="0"/>
    <x v="1"/>
  </r>
  <r>
    <x v="166"/>
    <x v="114"/>
    <x v="2"/>
    <x v="152"/>
    <x v="132"/>
    <x v="1"/>
    <x v="3"/>
    <x v="3"/>
    <x v="3"/>
    <x v="0"/>
    <x v="2"/>
    <x v="2"/>
    <x v="4"/>
    <x v="0"/>
    <x v="0"/>
    <x v="0"/>
    <x v="2"/>
  </r>
  <r>
    <x v="167"/>
    <x v="114"/>
    <x v="0"/>
    <x v="153"/>
    <x v="0"/>
    <x v="2"/>
    <x v="0"/>
    <x v="0"/>
    <x v="3"/>
    <x v="0"/>
    <x v="0"/>
    <x v="0"/>
    <x v="0"/>
    <x v="0"/>
    <x v="0"/>
    <x v="0"/>
    <x v="0"/>
  </r>
  <r>
    <x v="168"/>
    <x v="115"/>
    <x v="2"/>
    <x v="154"/>
    <x v="133"/>
    <x v="1"/>
    <x v="3"/>
    <x v="3"/>
    <x v="5"/>
    <x v="0"/>
    <x v="2"/>
    <x v="2"/>
    <x v="4"/>
    <x v="0"/>
    <x v="0"/>
    <x v="0"/>
    <x v="4"/>
  </r>
  <r>
    <x v="169"/>
    <x v="116"/>
    <x v="1"/>
    <x v="155"/>
    <x v="134"/>
    <x v="1"/>
    <x v="1"/>
    <x v="1"/>
    <x v="3"/>
    <x v="2"/>
    <x v="1"/>
    <x v="1"/>
    <x v="1"/>
    <x v="0"/>
    <x v="0"/>
    <x v="0"/>
    <x v="5"/>
  </r>
  <r>
    <x v="170"/>
    <x v="117"/>
    <x v="2"/>
    <x v="156"/>
    <x v="135"/>
    <x v="1"/>
    <x v="3"/>
    <x v="3"/>
    <x v="2"/>
    <x v="0"/>
    <x v="2"/>
    <x v="2"/>
    <x v="4"/>
    <x v="0"/>
    <x v="0"/>
    <x v="0"/>
    <x v="3"/>
  </r>
  <r>
    <x v="171"/>
    <x v="118"/>
    <x v="2"/>
    <x v="157"/>
    <x v="136"/>
    <x v="1"/>
    <x v="4"/>
    <x v="3"/>
    <x v="1"/>
    <x v="0"/>
    <x v="2"/>
    <x v="2"/>
    <x v="5"/>
    <x v="0"/>
    <x v="0"/>
    <x v="0"/>
    <x v="2"/>
  </r>
  <r>
    <x v="172"/>
    <x v="119"/>
    <x v="2"/>
    <x v="158"/>
    <x v="137"/>
    <x v="1"/>
    <x v="3"/>
    <x v="3"/>
    <x v="2"/>
    <x v="2"/>
    <x v="2"/>
    <x v="2"/>
    <x v="4"/>
    <x v="0"/>
    <x v="0"/>
    <x v="0"/>
    <x v="3"/>
  </r>
  <r>
    <x v="173"/>
    <x v="120"/>
    <x v="1"/>
    <x v="159"/>
    <x v="138"/>
    <x v="1"/>
    <x v="1"/>
    <x v="1"/>
    <x v="4"/>
    <x v="2"/>
    <x v="1"/>
    <x v="1"/>
    <x v="1"/>
    <x v="0"/>
    <x v="0"/>
    <x v="0"/>
    <x v="1"/>
  </r>
  <r>
    <x v="174"/>
    <x v="120"/>
    <x v="0"/>
    <x v="160"/>
    <x v="139"/>
    <x v="1"/>
    <x v="0"/>
    <x v="2"/>
    <x v="4"/>
    <x v="2"/>
    <x v="0"/>
    <x v="0"/>
    <x v="2"/>
    <x v="0"/>
    <x v="0"/>
    <x v="0"/>
    <x v="2"/>
  </r>
  <r>
    <x v="175"/>
    <x v="121"/>
    <x v="0"/>
    <x v="161"/>
    <x v="140"/>
    <x v="1"/>
    <x v="5"/>
    <x v="2"/>
    <x v="3"/>
    <x v="0"/>
    <x v="0"/>
    <x v="0"/>
    <x v="6"/>
    <x v="0"/>
    <x v="0"/>
    <x v="0"/>
    <x v="1"/>
  </r>
  <r>
    <x v="176"/>
    <x v="122"/>
    <x v="0"/>
    <x v="162"/>
    <x v="141"/>
    <x v="1"/>
    <x v="0"/>
    <x v="2"/>
    <x v="4"/>
    <x v="1"/>
    <x v="0"/>
    <x v="0"/>
    <x v="2"/>
    <x v="0"/>
    <x v="0"/>
    <x v="0"/>
    <x v="4"/>
  </r>
  <r>
    <x v="177"/>
    <x v="123"/>
    <x v="0"/>
    <x v="163"/>
    <x v="142"/>
    <x v="1"/>
    <x v="5"/>
    <x v="2"/>
    <x v="0"/>
    <x v="0"/>
    <x v="0"/>
    <x v="0"/>
    <x v="6"/>
    <x v="0"/>
    <x v="0"/>
    <x v="0"/>
    <x v="1"/>
  </r>
  <r>
    <x v="178"/>
    <x v="123"/>
    <x v="2"/>
    <x v="164"/>
    <x v="143"/>
    <x v="1"/>
    <x v="3"/>
    <x v="3"/>
    <x v="0"/>
    <x v="0"/>
    <x v="2"/>
    <x v="2"/>
    <x v="4"/>
    <x v="0"/>
    <x v="1"/>
    <x v="2"/>
    <x v="1"/>
  </r>
  <r>
    <x v="179"/>
    <x v="123"/>
    <x v="0"/>
    <x v="165"/>
    <x v="144"/>
    <x v="1"/>
    <x v="0"/>
    <x v="2"/>
    <x v="0"/>
    <x v="0"/>
    <x v="0"/>
    <x v="0"/>
    <x v="2"/>
    <x v="0"/>
    <x v="0"/>
    <x v="0"/>
    <x v="1"/>
  </r>
  <r>
    <x v="180"/>
    <x v="123"/>
    <x v="0"/>
    <x v="166"/>
    <x v="145"/>
    <x v="1"/>
    <x v="0"/>
    <x v="2"/>
    <x v="0"/>
    <x v="0"/>
    <x v="0"/>
    <x v="0"/>
    <x v="2"/>
    <x v="0"/>
    <x v="0"/>
    <x v="0"/>
    <x v="4"/>
  </r>
  <r>
    <x v="181"/>
    <x v="124"/>
    <x v="2"/>
    <x v="167"/>
    <x v="146"/>
    <x v="1"/>
    <x v="3"/>
    <x v="3"/>
    <x v="3"/>
    <x v="2"/>
    <x v="2"/>
    <x v="2"/>
    <x v="4"/>
    <x v="0"/>
    <x v="0"/>
    <x v="0"/>
    <x v="1"/>
  </r>
  <r>
    <x v="182"/>
    <x v="125"/>
    <x v="2"/>
    <x v="168"/>
    <x v="147"/>
    <x v="1"/>
    <x v="3"/>
    <x v="3"/>
    <x v="1"/>
    <x v="1"/>
    <x v="2"/>
    <x v="2"/>
    <x v="4"/>
    <x v="1"/>
    <x v="0"/>
    <x v="0"/>
    <x v="4"/>
  </r>
  <r>
    <x v="183"/>
    <x v="126"/>
    <x v="2"/>
    <x v="169"/>
    <x v="148"/>
    <x v="1"/>
    <x v="3"/>
    <x v="3"/>
    <x v="3"/>
    <x v="0"/>
    <x v="2"/>
    <x v="2"/>
    <x v="4"/>
    <x v="0"/>
    <x v="0"/>
    <x v="0"/>
    <x v="3"/>
  </r>
  <r>
    <x v="184"/>
    <x v="127"/>
    <x v="1"/>
    <x v="170"/>
    <x v="149"/>
    <x v="1"/>
    <x v="1"/>
    <x v="1"/>
    <x v="0"/>
    <x v="0"/>
    <x v="1"/>
    <x v="1"/>
    <x v="1"/>
    <x v="0"/>
    <x v="0"/>
    <x v="0"/>
    <x v="3"/>
  </r>
  <r>
    <x v="185"/>
    <x v="128"/>
    <x v="2"/>
    <x v="171"/>
    <x v="150"/>
    <x v="1"/>
    <x v="3"/>
    <x v="3"/>
    <x v="1"/>
    <x v="1"/>
    <x v="2"/>
    <x v="2"/>
    <x v="4"/>
    <x v="1"/>
    <x v="0"/>
    <x v="0"/>
    <x v="1"/>
  </r>
  <r>
    <x v="186"/>
    <x v="129"/>
    <x v="0"/>
    <x v="172"/>
    <x v="151"/>
    <x v="1"/>
    <x v="0"/>
    <x v="2"/>
    <x v="0"/>
    <x v="2"/>
    <x v="0"/>
    <x v="0"/>
    <x v="2"/>
    <x v="0"/>
    <x v="0"/>
    <x v="0"/>
    <x v="1"/>
  </r>
  <r>
    <x v="187"/>
    <x v="130"/>
    <x v="0"/>
    <x v="173"/>
    <x v="152"/>
    <x v="1"/>
    <x v="0"/>
    <x v="2"/>
    <x v="4"/>
    <x v="1"/>
    <x v="0"/>
    <x v="0"/>
    <x v="2"/>
    <x v="0"/>
    <x v="0"/>
    <x v="0"/>
    <x v="2"/>
  </r>
  <r>
    <x v="188"/>
    <x v="131"/>
    <x v="0"/>
    <x v="174"/>
    <x v="153"/>
    <x v="1"/>
    <x v="0"/>
    <x v="2"/>
    <x v="5"/>
    <x v="2"/>
    <x v="0"/>
    <x v="0"/>
    <x v="2"/>
    <x v="0"/>
    <x v="0"/>
    <x v="0"/>
    <x v="1"/>
  </r>
  <r>
    <x v="189"/>
    <x v="132"/>
    <x v="1"/>
    <x v="175"/>
    <x v="154"/>
    <x v="1"/>
    <x v="2"/>
    <x v="1"/>
    <x v="1"/>
    <x v="2"/>
    <x v="1"/>
    <x v="1"/>
    <x v="3"/>
    <x v="1"/>
    <x v="0"/>
    <x v="0"/>
    <x v="1"/>
  </r>
  <r>
    <x v="190"/>
    <x v="133"/>
    <x v="1"/>
    <x v="176"/>
    <x v="155"/>
    <x v="1"/>
    <x v="1"/>
    <x v="1"/>
    <x v="1"/>
    <x v="1"/>
    <x v="1"/>
    <x v="1"/>
    <x v="1"/>
    <x v="1"/>
    <x v="0"/>
    <x v="0"/>
    <x v="3"/>
  </r>
  <r>
    <x v="191"/>
    <x v="134"/>
    <x v="1"/>
    <x v="177"/>
    <x v="156"/>
    <x v="1"/>
    <x v="2"/>
    <x v="1"/>
    <x v="0"/>
    <x v="1"/>
    <x v="1"/>
    <x v="1"/>
    <x v="3"/>
    <x v="0"/>
    <x v="0"/>
    <x v="0"/>
    <x v="3"/>
  </r>
  <r>
    <x v="192"/>
    <x v="135"/>
    <x v="1"/>
    <x v="178"/>
    <x v="157"/>
    <x v="1"/>
    <x v="1"/>
    <x v="1"/>
    <x v="1"/>
    <x v="2"/>
    <x v="1"/>
    <x v="1"/>
    <x v="1"/>
    <x v="1"/>
    <x v="0"/>
    <x v="0"/>
    <x v="4"/>
  </r>
  <r>
    <x v="193"/>
    <x v="135"/>
    <x v="2"/>
    <x v="179"/>
    <x v="0"/>
    <x v="2"/>
    <x v="3"/>
    <x v="0"/>
    <x v="1"/>
    <x v="2"/>
    <x v="2"/>
    <x v="2"/>
    <x v="0"/>
    <x v="0"/>
    <x v="0"/>
    <x v="0"/>
    <x v="0"/>
  </r>
  <r>
    <x v="194"/>
    <x v="136"/>
    <x v="0"/>
    <x v="180"/>
    <x v="158"/>
    <x v="1"/>
    <x v="0"/>
    <x v="2"/>
    <x v="1"/>
    <x v="2"/>
    <x v="0"/>
    <x v="0"/>
    <x v="2"/>
    <x v="1"/>
    <x v="0"/>
    <x v="0"/>
    <x v="1"/>
  </r>
  <r>
    <x v="195"/>
    <x v="137"/>
    <x v="1"/>
    <x v="181"/>
    <x v="159"/>
    <x v="1"/>
    <x v="1"/>
    <x v="1"/>
    <x v="3"/>
    <x v="1"/>
    <x v="1"/>
    <x v="1"/>
    <x v="1"/>
    <x v="0"/>
    <x v="0"/>
    <x v="0"/>
    <x v="4"/>
  </r>
  <r>
    <x v="196"/>
    <x v="137"/>
    <x v="2"/>
    <x v="182"/>
    <x v="0"/>
    <x v="2"/>
    <x v="3"/>
    <x v="0"/>
    <x v="3"/>
    <x v="1"/>
    <x v="2"/>
    <x v="2"/>
    <x v="0"/>
    <x v="0"/>
    <x v="0"/>
    <x v="0"/>
    <x v="0"/>
  </r>
  <r>
    <x v="197"/>
    <x v="138"/>
    <x v="1"/>
    <x v="183"/>
    <x v="160"/>
    <x v="1"/>
    <x v="1"/>
    <x v="1"/>
    <x v="1"/>
    <x v="0"/>
    <x v="1"/>
    <x v="1"/>
    <x v="1"/>
    <x v="0"/>
    <x v="0"/>
    <x v="0"/>
    <x v="3"/>
  </r>
  <r>
    <x v="198"/>
    <x v="138"/>
    <x v="0"/>
    <x v="184"/>
    <x v="0"/>
    <x v="2"/>
    <x v="0"/>
    <x v="0"/>
    <x v="1"/>
    <x v="0"/>
    <x v="0"/>
    <x v="0"/>
    <x v="0"/>
    <x v="0"/>
    <x v="0"/>
    <x v="0"/>
    <x v="0"/>
  </r>
  <r>
    <x v="199"/>
    <x v="139"/>
    <x v="0"/>
    <x v="185"/>
    <x v="161"/>
    <x v="1"/>
    <x v="0"/>
    <x v="2"/>
    <x v="1"/>
    <x v="0"/>
    <x v="0"/>
    <x v="0"/>
    <x v="2"/>
    <x v="0"/>
    <x v="0"/>
    <x v="0"/>
    <x v="4"/>
  </r>
  <r>
    <x v="200"/>
    <x v="140"/>
    <x v="2"/>
    <x v="186"/>
    <x v="162"/>
    <x v="1"/>
    <x v="3"/>
    <x v="3"/>
    <x v="2"/>
    <x v="2"/>
    <x v="2"/>
    <x v="2"/>
    <x v="4"/>
    <x v="0"/>
    <x v="0"/>
    <x v="0"/>
    <x v="1"/>
  </r>
  <r>
    <x v="201"/>
    <x v="141"/>
    <x v="0"/>
    <x v="187"/>
    <x v="163"/>
    <x v="1"/>
    <x v="0"/>
    <x v="2"/>
    <x v="2"/>
    <x v="1"/>
    <x v="0"/>
    <x v="0"/>
    <x v="2"/>
    <x v="0"/>
    <x v="0"/>
    <x v="0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">
  <r>
    <x v="0"/>
    <x v="0"/>
    <x v="0"/>
    <x v="0"/>
    <x v="0"/>
    <x v="0"/>
    <x v="0"/>
    <x v="0"/>
  </r>
  <r>
    <x v="1"/>
    <x v="1"/>
    <x v="1"/>
    <x v="0"/>
    <x v="0"/>
    <x v="1"/>
    <x v="1"/>
    <x v="1"/>
  </r>
  <r>
    <x v="2"/>
    <x v="2"/>
    <x v="2"/>
    <x v="1"/>
    <x v="1"/>
    <x v="0"/>
    <x v="2"/>
    <x v="0"/>
  </r>
  <r>
    <x v="3"/>
    <x v="3"/>
    <x v="3"/>
    <x v="1"/>
    <x v="1"/>
    <x v="1"/>
    <x v="3"/>
    <x v="2"/>
  </r>
  <r>
    <x v="4"/>
    <x v="4"/>
    <x v="4"/>
    <x v="1"/>
    <x v="1"/>
    <x v="0"/>
    <x v="4"/>
    <x v="3"/>
  </r>
  <r>
    <x v="5"/>
    <x v="5"/>
    <x v="5"/>
    <x v="1"/>
    <x v="1"/>
    <x v="1"/>
    <x v="4"/>
    <x v="3"/>
  </r>
  <r>
    <x v="6"/>
    <x v="6"/>
    <x v="6"/>
    <x v="2"/>
    <x v="2"/>
    <x v="0"/>
    <x v="5"/>
    <x v="0"/>
  </r>
  <r>
    <x v="7"/>
    <x v="7"/>
    <x v="7"/>
    <x v="1"/>
    <x v="1"/>
    <x v="1"/>
    <x v="6"/>
    <x v="4"/>
  </r>
  <r>
    <x v="8"/>
    <x v="8"/>
    <x v="8"/>
    <x v="1"/>
    <x v="1"/>
    <x v="1"/>
    <x v="7"/>
    <x v="4"/>
  </r>
  <r>
    <x v="9"/>
    <x v="9"/>
    <x v="9"/>
    <x v="0"/>
    <x v="0"/>
    <x v="0"/>
    <x v="8"/>
    <x v="5"/>
  </r>
  <r>
    <x v="10"/>
    <x v="10"/>
    <x v="10"/>
    <x v="0"/>
    <x v="0"/>
    <x v="0"/>
    <x v="8"/>
    <x v="4"/>
  </r>
  <r>
    <x v="11"/>
    <x v="11"/>
    <x v="11"/>
    <x v="1"/>
    <x v="1"/>
    <x v="0"/>
    <x v="9"/>
    <x v="2"/>
  </r>
  <r>
    <x v="12"/>
    <x v="12"/>
    <x v="12"/>
    <x v="2"/>
    <x v="2"/>
    <x v="1"/>
    <x v="10"/>
    <x v="1"/>
  </r>
  <r>
    <x v="13"/>
    <x v="13"/>
    <x v="13"/>
    <x v="1"/>
    <x v="1"/>
    <x v="0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users_repor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4">
  <location ref="A14:F21" firstHeaderRow="0" firstDataRow="1" firstDataCol="1" rowPageCount="1" colPageCount="1"/>
  <pivotFields count="12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22" showAll="0">
      <items count="501">
        <item x="380"/>
        <item x="251"/>
        <item x="289"/>
        <item x="420"/>
        <item x="215"/>
        <item x="286"/>
        <item x="303"/>
        <item x="489"/>
        <item x="344"/>
        <item x="88"/>
        <item x="18"/>
        <item x="292"/>
        <item x="288"/>
        <item x="132"/>
        <item x="173"/>
        <item x="427"/>
        <item x="171"/>
        <item x="184"/>
        <item x="101"/>
        <item x="136"/>
        <item x="383"/>
        <item x="315"/>
        <item x="115"/>
        <item x="348"/>
        <item x="396"/>
        <item x="354"/>
        <item x="163"/>
        <item x="358"/>
        <item x="399"/>
        <item x="334"/>
        <item x="260"/>
        <item x="340"/>
        <item x="274"/>
        <item x="458"/>
        <item x="7"/>
        <item x="211"/>
        <item x="44"/>
        <item x="438"/>
        <item x="461"/>
        <item x="24"/>
        <item x="352"/>
        <item x="86"/>
        <item x="424"/>
        <item x="213"/>
        <item x="332"/>
        <item x="174"/>
        <item x="131"/>
        <item x="67"/>
        <item x="329"/>
        <item x="311"/>
        <item x="222"/>
        <item x="151"/>
        <item x="300"/>
        <item x="212"/>
        <item x="324"/>
        <item x="207"/>
        <item x="495"/>
        <item x="371"/>
        <item x="444"/>
        <item x="51"/>
        <item x="460"/>
        <item x="401"/>
        <item x="30"/>
        <item x="310"/>
        <item x="48"/>
        <item x="183"/>
        <item x="301"/>
        <item x="364"/>
        <item x="236"/>
        <item x="208"/>
        <item x="23"/>
        <item x="312"/>
        <item x="160"/>
        <item x="57"/>
        <item x="128"/>
        <item x="467"/>
        <item x="314"/>
        <item x="144"/>
        <item x="442"/>
        <item x="409"/>
        <item x="428"/>
        <item x="19"/>
        <item x="353"/>
        <item x="411"/>
        <item x="133"/>
        <item x="188"/>
        <item x="231"/>
        <item x="430"/>
        <item x="75"/>
        <item x="412"/>
        <item x="279"/>
        <item x="463"/>
        <item x="297"/>
        <item x="414"/>
        <item x="302"/>
        <item x="368"/>
        <item x="10"/>
        <item x="206"/>
        <item x="55"/>
        <item x="483"/>
        <item x="96"/>
        <item x="218"/>
        <item x="291"/>
        <item x="413"/>
        <item x="34"/>
        <item x="422"/>
        <item x="436"/>
        <item x="117"/>
        <item x="459"/>
        <item x="261"/>
        <item x="90"/>
        <item x="238"/>
        <item x="80"/>
        <item x="417"/>
        <item x="177"/>
        <item x="480"/>
        <item x="258"/>
        <item x="21"/>
        <item x="165"/>
        <item x="473"/>
        <item x="209"/>
        <item x="170"/>
        <item x="306"/>
        <item x="230"/>
        <item x="166"/>
        <item x="225"/>
        <item x="367"/>
        <item x="356"/>
        <item x="244"/>
        <item x="71"/>
        <item x="257"/>
        <item x="350"/>
        <item x="385"/>
        <item x="363"/>
        <item x="454"/>
        <item x="471"/>
        <item x="346"/>
        <item x="106"/>
        <item x="321"/>
        <item x="435"/>
        <item x="338"/>
        <item x="253"/>
        <item x="182"/>
        <item x="38"/>
        <item x="493"/>
        <item x="266"/>
        <item x="470"/>
        <item x="87"/>
        <item x="418"/>
        <item x="223"/>
        <item x="481"/>
        <item x="437"/>
        <item x="234"/>
        <item x="429"/>
        <item x="142"/>
        <item x="393"/>
        <item x="491"/>
        <item x="66"/>
        <item x="359"/>
        <item x="2"/>
        <item x="84"/>
        <item x="278"/>
        <item x="50"/>
        <item x="186"/>
        <item x="172"/>
        <item x="376"/>
        <item x="494"/>
        <item x="185"/>
        <item x="381"/>
        <item x="120"/>
        <item x="296"/>
        <item x="193"/>
        <item x="227"/>
        <item x="298"/>
        <item x="452"/>
        <item x="62"/>
        <item x="402"/>
        <item x="322"/>
        <item x="201"/>
        <item x="347"/>
        <item x="217"/>
        <item x="391"/>
        <item x="339"/>
        <item x="125"/>
        <item x="439"/>
        <item x="453"/>
        <item x="305"/>
        <item x="269"/>
        <item x="196"/>
        <item x="466"/>
        <item x="248"/>
        <item x="268"/>
        <item x="68"/>
        <item x="313"/>
        <item x="421"/>
        <item x="54"/>
        <item x="153"/>
        <item x="475"/>
        <item x="407"/>
        <item x="256"/>
        <item x="221"/>
        <item x="139"/>
        <item x="187"/>
        <item x="26"/>
        <item x="249"/>
        <item x="116"/>
        <item x="78"/>
        <item x="252"/>
        <item x="126"/>
        <item x="390"/>
        <item x="370"/>
        <item x="388"/>
        <item x="12"/>
        <item x="150"/>
        <item x="102"/>
        <item x="164"/>
        <item x="45"/>
        <item x="29"/>
        <item x="82"/>
        <item x="307"/>
        <item x="464"/>
        <item x="273"/>
        <item x="387"/>
        <item x="9"/>
        <item x="374"/>
        <item x="79"/>
        <item x="149"/>
        <item x="333"/>
        <item x="283"/>
        <item x="41"/>
        <item x="11"/>
        <item x="499"/>
        <item x="378"/>
        <item x="309"/>
        <item x="477"/>
        <item x="52"/>
        <item x="478"/>
        <item x="83"/>
        <item x="89"/>
        <item x="98"/>
        <item x="345"/>
        <item x="203"/>
        <item x="178"/>
        <item x="181"/>
        <item x="295"/>
        <item x="318"/>
        <item x="319"/>
        <item x="16"/>
        <item x="168"/>
        <item x="245"/>
        <item x="99"/>
        <item x="423"/>
        <item x="425"/>
        <item x="81"/>
        <item x="161"/>
        <item x="281"/>
        <item x="176"/>
        <item x="299"/>
        <item x="386"/>
        <item x="241"/>
        <item x="91"/>
        <item x="224"/>
        <item x="362"/>
        <item x="157"/>
        <item x="419"/>
        <item x="159"/>
        <item x="416"/>
        <item x="169"/>
        <item x="130"/>
        <item x="22"/>
        <item x="404"/>
        <item x="400"/>
        <item x="233"/>
        <item x="351"/>
        <item x="107"/>
        <item x="56"/>
        <item x="65"/>
        <item x="180"/>
        <item x="462"/>
        <item x="479"/>
        <item x="73"/>
        <item x="72"/>
        <item x="6"/>
        <item x="226"/>
        <item x="228"/>
        <item x="264"/>
        <item x="14"/>
        <item x="308"/>
        <item x="200"/>
        <item x="336"/>
        <item x="237"/>
        <item x="108"/>
        <item x="285"/>
        <item x="498"/>
        <item x="395"/>
        <item x="42"/>
        <item x="448"/>
        <item x="202"/>
        <item x="31"/>
        <item x="242"/>
        <item x="141"/>
        <item x="15"/>
        <item x="250"/>
        <item x="123"/>
        <item x="192"/>
        <item x="468"/>
        <item x="490"/>
        <item x="293"/>
        <item x="156"/>
        <item x="110"/>
        <item x="397"/>
        <item x="204"/>
        <item x="127"/>
        <item x="95"/>
        <item x="61"/>
        <item x="25"/>
        <item x="455"/>
        <item x="259"/>
        <item x="294"/>
        <item x="43"/>
        <item x="138"/>
        <item x="440"/>
        <item x="472"/>
        <item x="284"/>
        <item x="326"/>
        <item x="482"/>
        <item x="216"/>
        <item x="457"/>
        <item x="443"/>
        <item x="432"/>
        <item x="59"/>
        <item x="28"/>
        <item x="488"/>
        <item x="103"/>
        <item x="154"/>
        <item x="76"/>
        <item x="195"/>
        <item x="109"/>
        <item x="456"/>
        <item x="320"/>
        <item x="53"/>
        <item x="372"/>
        <item x="254"/>
        <item x="37"/>
        <item x="121"/>
        <item x="240"/>
        <item x="0"/>
        <item x="93"/>
        <item x="64"/>
        <item x="134"/>
        <item x="137"/>
        <item x="8"/>
        <item x="33"/>
        <item x="330"/>
        <item x="492"/>
        <item x="198"/>
        <item x="406"/>
        <item x="255"/>
        <item x="446"/>
        <item x="1"/>
        <item x="100"/>
        <item x="449"/>
        <item x="69"/>
        <item x="265"/>
        <item x="35"/>
        <item x="360"/>
        <item x="74"/>
        <item x="155"/>
        <item x="239"/>
        <item x="271"/>
        <item x="220"/>
        <item x="361"/>
        <item x="341"/>
        <item x="327"/>
        <item x="379"/>
        <item x="148"/>
        <item x="431"/>
        <item x="162"/>
        <item x="70"/>
        <item x="375"/>
        <item x="189"/>
        <item x="323"/>
        <item x="272"/>
        <item x="122"/>
        <item x="214"/>
        <item x="335"/>
        <item x="389"/>
        <item x="484"/>
        <item x="191"/>
        <item x="113"/>
        <item x="118"/>
        <item x="398"/>
        <item x="277"/>
        <item x="415"/>
        <item x="3"/>
        <item x="262"/>
        <item x="167"/>
        <item x="246"/>
        <item x="392"/>
        <item x="179"/>
        <item x="112"/>
        <item x="63"/>
        <item x="316"/>
        <item x="450"/>
        <item x="145"/>
        <item x="282"/>
        <item x="343"/>
        <item x="47"/>
        <item x="405"/>
        <item x="366"/>
        <item x="114"/>
        <item x="342"/>
        <item x="476"/>
        <item x="190"/>
        <item x="465"/>
        <item x="27"/>
        <item x="219"/>
        <item x="349"/>
        <item x="129"/>
        <item x="382"/>
        <item x="365"/>
        <item x="39"/>
        <item x="485"/>
        <item x="384"/>
        <item x="92"/>
        <item x="325"/>
        <item x="434"/>
        <item x="105"/>
        <item x="426"/>
        <item x="474"/>
        <item x="197"/>
        <item x="58"/>
        <item x="94"/>
        <item x="111"/>
        <item x="17"/>
        <item x="49"/>
        <item x="280"/>
        <item x="487"/>
        <item x="199"/>
        <item x="158"/>
        <item x="46"/>
        <item x="451"/>
        <item x="445"/>
        <item x="447"/>
        <item x="337"/>
        <item x="147"/>
        <item x="119"/>
        <item x="408"/>
        <item x="13"/>
        <item x="317"/>
        <item x="373"/>
        <item x="104"/>
        <item x="355"/>
        <item x="290"/>
        <item x="433"/>
        <item x="32"/>
        <item x="194"/>
        <item x="357"/>
        <item x="267"/>
        <item x="124"/>
        <item x="4"/>
        <item x="377"/>
        <item x="143"/>
        <item x="247"/>
        <item x="20"/>
        <item x="140"/>
        <item x="410"/>
        <item x="36"/>
        <item x="175"/>
        <item x="275"/>
        <item x="135"/>
        <item x="496"/>
        <item x="331"/>
        <item x="146"/>
        <item x="394"/>
        <item x="40"/>
        <item x="60"/>
        <item x="486"/>
        <item x="232"/>
        <item x="97"/>
        <item x="497"/>
        <item x="152"/>
        <item x="210"/>
        <item x="263"/>
        <item x="270"/>
        <item x="287"/>
        <item x="276"/>
        <item x="369"/>
        <item x="328"/>
        <item x="77"/>
        <item x="441"/>
        <item x="469"/>
        <item x="403"/>
        <item x="85"/>
        <item x="235"/>
        <item x="205"/>
        <item x="304"/>
        <item x="5"/>
        <item x="243"/>
        <item x="229"/>
        <item t="default"/>
      </items>
    </pivotField>
    <pivotField axis="axisRow" compact="0" sortType="ascending" showAll="0">
      <items count="7">
        <item x="0"/>
        <item x="2"/>
        <item x="3"/>
        <item x="4"/>
        <item x="5"/>
        <item x="1"/>
        <item t="default"/>
      </items>
      <autoSortScope>
        <pivotArea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Page" compact="0" multipleItemSelectionAllowed="1" showAll="0">
      <items count="4">
        <item h="1" x="0"/>
        <item x="2"/>
        <item h="1" x="1"/>
        <item t="default"/>
      </items>
    </pivotField>
    <pivotField compact="0" showAll="0">
      <items count="9">
        <item x="4"/>
        <item x="6"/>
        <item x="3"/>
        <item x="7"/>
        <item x="2"/>
        <item x="0"/>
        <item x="1"/>
        <item x="5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dataField="1" compact="0" showAll="0">
      <items count="18">
        <item x="1"/>
        <item x="8"/>
        <item x="2"/>
        <item x="3"/>
        <item x="0"/>
        <item x="6"/>
        <item x="5"/>
        <item x="7"/>
        <item x="4"/>
        <item x="9"/>
        <item x="15"/>
        <item x="11"/>
        <item x="16"/>
        <item x="10"/>
        <item x="12"/>
        <item x="14"/>
        <item x="13"/>
        <item t="default"/>
      </items>
    </pivotField>
    <pivotField dataField="1" compact="0" showAll="0">
      <items count="7">
        <item x="0"/>
        <item x="4"/>
        <item x="1"/>
        <item x="5"/>
        <item x="2"/>
        <item x="3"/>
        <item t="default"/>
      </items>
    </pivotField>
    <pivotField dataField="1" compact="0" showAll="0">
      <items count="13">
        <item x="1"/>
        <item x="7"/>
        <item x="2"/>
        <item x="3"/>
        <item x="0"/>
        <item x="5"/>
        <item x="11"/>
        <item x="8"/>
        <item x="6"/>
        <item x="4"/>
        <item x="10"/>
        <item x="9"/>
        <item t="default"/>
      </items>
    </pivotField>
    <pivotField dataField="1" compact="0" showAll="0">
      <items count="3">
        <item x="1"/>
        <item x="0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2"/>
  </rowFields>
  <rowItems count="7">
    <i>
      <x v="4"/>
    </i>
    <i>
      <x v="3"/>
    </i>
    <i>
      <x/>
    </i>
    <i>
      <x v="1"/>
    </i>
    <i>
      <x v="2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3"/>
  </pageFields>
  <dataFields count="5">
    <dataField name="Count of user_id" fld="0" subtotal="count" baseField="0" baseItem="0"/>
    <dataField name="Sum of is_payer" fld="9" baseField="0" baseItem="0"/>
    <dataField name="total_paid" fld="6" baseField="0" baseItem="0"/>
    <dataField name="total_refunded" fld="7" baseField="0" baseItem="0"/>
    <dataField name="total_net_revenue_us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4:B41" firstHeaderRow="1" firstDataRow="1" firstDataCol="1"/>
  <pivotFields count="1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501">
        <item x="380"/>
        <item x="251"/>
        <item x="289"/>
        <item x="420"/>
        <item x="215"/>
        <item x="286"/>
        <item x="303"/>
        <item x="489"/>
        <item x="344"/>
        <item x="88"/>
        <item x="18"/>
        <item x="292"/>
        <item x="288"/>
        <item x="132"/>
        <item x="173"/>
        <item x="427"/>
        <item x="171"/>
        <item x="184"/>
        <item x="101"/>
        <item x="136"/>
        <item x="383"/>
        <item x="315"/>
        <item x="115"/>
        <item x="348"/>
        <item x="396"/>
        <item x="354"/>
        <item x="163"/>
        <item x="358"/>
        <item x="399"/>
        <item x="334"/>
        <item x="260"/>
        <item x="340"/>
        <item x="274"/>
        <item x="458"/>
        <item x="7"/>
        <item x="211"/>
        <item x="44"/>
        <item x="438"/>
        <item x="461"/>
        <item x="24"/>
        <item x="352"/>
        <item x="86"/>
        <item x="424"/>
        <item x="213"/>
        <item x="332"/>
        <item x="174"/>
        <item x="131"/>
        <item x="67"/>
        <item x="329"/>
        <item x="311"/>
        <item x="222"/>
        <item x="151"/>
        <item x="300"/>
        <item x="212"/>
        <item x="324"/>
        <item x="207"/>
        <item x="495"/>
        <item x="371"/>
        <item x="444"/>
        <item x="51"/>
        <item x="460"/>
        <item x="401"/>
        <item x="30"/>
        <item x="310"/>
        <item x="48"/>
        <item x="183"/>
        <item x="301"/>
        <item x="364"/>
        <item x="236"/>
        <item x="208"/>
        <item x="23"/>
        <item x="312"/>
        <item x="160"/>
        <item x="57"/>
        <item x="128"/>
        <item x="467"/>
        <item x="314"/>
        <item x="144"/>
        <item x="442"/>
        <item x="409"/>
        <item x="428"/>
        <item x="19"/>
        <item x="353"/>
        <item x="411"/>
        <item x="133"/>
        <item x="188"/>
        <item x="231"/>
        <item x="430"/>
        <item x="75"/>
        <item x="412"/>
        <item x="279"/>
        <item x="463"/>
        <item x="297"/>
        <item x="414"/>
        <item x="302"/>
        <item x="368"/>
        <item x="10"/>
        <item x="206"/>
        <item x="55"/>
        <item x="483"/>
        <item x="96"/>
        <item x="218"/>
        <item x="291"/>
        <item x="413"/>
        <item x="34"/>
        <item x="422"/>
        <item x="436"/>
        <item x="117"/>
        <item x="459"/>
        <item x="261"/>
        <item x="90"/>
        <item x="238"/>
        <item x="80"/>
        <item x="417"/>
        <item x="177"/>
        <item x="480"/>
        <item x="258"/>
        <item x="21"/>
        <item x="165"/>
        <item x="473"/>
        <item x="209"/>
        <item x="170"/>
        <item x="306"/>
        <item x="230"/>
        <item x="166"/>
        <item x="225"/>
        <item x="367"/>
        <item x="356"/>
        <item x="244"/>
        <item x="71"/>
        <item x="257"/>
        <item x="350"/>
        <item x="385"/>
        <item x="363"/>
        <item x="454"/>
        <item x="471"/>
        <item x="346"/>
        <item x="106"/>
        <item x="321"/>
        <item x="435"/>
        <item x="338"/>
        <item x="253"/>
        <item x="182"/>
        <item x="38"/>
        <item x="493"/>
        <item x="266"/>
        <item x="470"/>
        <item x="87"/>
        <item x="418"/>
        <item x="223"/>
        <item x="481"/>
        <item x="437"/>
        <item x="234"/>
        <item x="429"/>
        <item x="142"/>
        <item x="393"/>
        <item x="491"/>
        <item x="66"/>
        <item x="359"/>
        <item x="2"/>
        <item x="84"/>
        <item x="278"/>
        <item x="50"/>
        <item x="186"/>
        <item x="172"/>
        <item x="376"/>
        <item x="494"/>
        <item x="185"/>
        <item x="381"/>
        <item x="120"/>
        <item x="296"/>
        <item x="193"/>
        <item x="227"/>
        <item x="298"/>
        <item x="452"/>
        <item x="62"/>
        <item x="402"/>
        <item x="322"/>
        <item x="201"/>
        <item x="347"/>
        <item x="217"/>
        <item x="391"/>
        <item x="339"/>
        <item x="125"/>
        <item x="439"/>
        <item x="453"/>
        <item x="305"/>
        <item x="269"/>
        <item x="196"/>
        <item x="466"/>
        <item x="248"/>
        <item x="268"/>
        <item x="68"/>
        <item x="313"/>
        <item x="421"/>
        <item x="54"/>
        <item x="153"/>
        <item x="475"/>
        <item x="407"/>
        <item x="256"/>
        <item x="221"/>
        <item x="139"/>
        <item x="187"/>
        <item x="26"/>
        <item x="249"/>
        <item x="116"/>
        <item x="78"/>
        <item x="252"/>
        <item x="126"/>
        <item x="390"/>
        <item x="370"/>
        <item x="388"/>
        <item x="12"/>
        <item x="150"/>
        <item x="102"/>
        <item x="164"/>
        <item x="45"/>
        <item x="29"/>
        <item x="82"/>
        <item x="307"/>
        <item x="464"/>
        <item x="273"/>
        <item x="387"/>
        <item x="9"/>
        <item x="374"/>
        <item x="79"/>
        <item x="149"/>
        <item x="333"/>
        <item x="283"/>
        <item x="41"/>
        <item x="11"/>
        <item x="499"/>
        <item x="378"/>
        <item x="309"/>
        <item x="477"/>
        <item x="52"/>
        <item x="478"/>
        <item x="83"/>
        <item x="89"/>
        <item x="98"/>
        <item x="345"/>
        <item x="203"/>
        <item x="178"/>
        <item x="181"/>
        <item x="295"/>
        <item x="318"/>
        <item x="319"/>
        <item x="16"/>
        <item x="168"/>
        <item x="245"/>
        <item x="99"/>
        <item x="423"/>
        <item x="425"/>
        <item x="81"/>
        <item x="161"/>
        <item x="281"/>
        <item x="176"/>
        <item x="299"/>
        <item x="386"/>
        <item x="241"/>
        <item x="91"/>
        <item x="224"/>
        <item x="362"/>
        <item x="157"/>
        <item x="419"/>
        <item x="159"/>
        <item x="416"/>
        <item x="169"/>
        <item x="130"/>
        <item x="22"/>
        <item x="404"/>
        <item x="400"/>
        <item x="233"/>
        <item x="351"/>
        <item x="107"/>
        <item x="56"/>
        <item x="65"/>
        <item x="180"/>
        <item x="462"/>
        <item x="479"/>
        <item x="73"/>
        <item x="72"/>
        <item x="6"/>
        <item x="226"/>
        <item x="228"/>
        <item x="264"/>
        <item x="14"/>
        <item x="308"/>
        <item x="200"/>
        <item x="336"/>
        <item x="237"/>
        <item x="108"/>
        <item x="285"/>
        <item x="498"/>
        <item x="395"/>
        <item x="42"/>
        <item x="448"/>
        <item x="202"/>
        <item x="31"/>
        <item x="242"/>
        <item x="141"/>
        <item x="15"/>
        <item x="250"/>
        <item x="123"/>
        <item x="192"/>
        <item x="468"/>
        <item x="490"/>
        <item x="293"/>
        <item x="156"/>
        <item x="110"/>
        <item x="397"/>
        <item x="204"/>
        <item x="127"/>
        <item x="95"/>
        <item x="61"/>
        <item x="25"/>
        <item x="455"/>
        <item x="259"/>
        <item x="294"/>
        <item x="43"/>
        <item x="138"/>
        <item x="440"/>
        <item x="472"/>
        <item x="284"/>
        <item x="326"/>
        <item x="482"/>
        <item x="216"/>
        <item x="457"/>
        <item x="443"/>
        <item x="432"/>
        <item x="59"/>
        <item x="28"/>
        <item x="488"/>
        <item x="103"/>
        <item x="154"/>
        <item x="76"/>
        <item x="195"/>
        <item x="109"/>
        <item x="456"/>
        <item x="320"/>
        <item x="53"/>
        <item x="372"/>
        <item x="254"/>
        <item x="37"/>
        <item x="121"/>
        <item x="240"/>
        <item x="0"/>
        <item x="93"/>
        <item x="64"/>
        <item x="134"/>
        <item x="137"/>
        <item x="8"/>
        <item x="33"/>
        <item x="330"/>
        <item x="492"/>
        <item x="198"/>
        <item x="406"/>
        <item x="255"/>
        <item x="446"/>
        <item x="1"/>
        <item x="100"/>
        <item x="449"/>
        <item x="69"/>
        <item x="265"/>
        <item x="35"/>
        <item x="360"/>
        <item x="74"/>
        <item x="155"/>
        <item x="239"/>
        <item x="271"/>
        <item x="220"/>
        <item x="361"/>
        <item x="341"/>
        <item x="327"/>
        <item x="379"/>
        <item x="148"/>
        <item x="431"/>
        <item x="162"/>
        <item x="70"/>
        <item x="375"/>
        <item x="189"/>
        <item x="323"/>
        <item x="272"/>
        <item x="122"/>
        <item x="214"/>
        <item x="335"/>
        <item x="389"/>
        <item x="484"/>
        <item x="191"/>
        <item x="113"/>
        <item x="118"/>
        <item x="398"/>
        <item x="277"/>
        <item x="415"/>
        <item x="3"/>
        <item x="262"/>
        <item x="167"/>
        <item x="246"/>
        <item x="392"/>
        <item x="179"/>
        <item x="112"/>
        <item x="63"/>
        <item x="316"/>
        <item x="450"/>
        <item x="145"/>
        <item x="282"/>
        <item x="343"/>
        <item x="47"/>
        <item x="405"/>
        <item x="366"/>
        <item x="114"/>
        <item x="342"/>
        <item x="476"/>
        <item x="190"/>
        <item x="465"/>
        <item x="27"/>
        <item x="219"/>
        <item x="349"/>
        <item x="129"/>
        <item x="382"/>
        <item x="365"/>
        <item x="39"/>
        <item x="485"/>
        <item x="384"/>
        <item x="92"/>
        <item x="325"/>
        <item x="434"/>
        <item x="105"/>
        <item x="426"/>
        <item x="474"/>
        <item x="197"/>
        <item x="58"/>
        <item x="94"/>
        <item x="111"/>
        <item x="17"/>
        <item x="49"/>
        <item x="280"/>
        <item x="487"/>
        <item x="199"/>
        <item x="158"/>
        <item x="46"/>
        <item x="451"/>
        <item x="445"/>
        <item x="447"/>
        <item x="337"/>
        <item x="147"/>
        <item x="119"/>
        <item x="408"/>
        <item x="13"/>
        <item x="317"/>
        <item x="373"/>
        <item x="104"/>
        <item x="355"/>
        <item x="290"/>
        <item x="433"/>
        <item x="32"/>
        <item x="194"/>
        <item x="357"/>
        <item x="267"/>
        <item x="124"/>
        <item x="4"/>
        <item x="377"/>
        <item x="143"/>
        <item x="247"/>
        <item x="20"/>
        <item x="140"/>
        <item x="410"/>
        <item x="36"/>
        <item x="175"/>
        <item x="275"/>
        <item x="135"/>
        <item x="496"/>
        <item x="331"/>
        <item x="146"/>
        <item x="394"/>
        <item x="40"/>
        <item x="60"/>
        <item x="486"/>
        <item x="232"/>
        <item x="97"/>
        <item x="497"/>
        <item x="152"/>
        <item x="210"/>
        <item x="263"/>
        <item x="270"/>
        <item x="287"/>
        <item x="276"/>
        <item x="369"/>
        <item x="328"/>
        <item x="77"/>
        <item x="441"/>
        <item x="469"/>
        <item x="403"/>
        <item x="85"/>
        <item x="235"/>
        <item x="205"/>
        <item x="304"/>
        <item x="5"/>
        <item x="243"/>
        <item x="229"/>
        <item t="default"/>
      </items>
    </pivotField>
    <pivotField axis="axisRow" compact="0" showAll="0">
      <items count="7">
        <item x="0"/>
        <item x="2"/>
        <item x="3"/>
        <item x="4"/>
        <item x="5"/>
        <item x="1"/>
        <item t="default"/>
      </items>
    </pivotField>
    <pivotField compact="0" showAll="0">
      <items count="4">
        <item x="0"/>
        <item h="1" x="2"/>
        <item h="1" x="1"/>
        <item t="default"/>
      </items>
    </pivotField>
    <pivotField compact="0" showAll="0">
      <items count="9">
        <item x="4"/>
        <item x="6"/>
        <item x="3"/>
        <item x="7"/>
        <item x="2"/>
        <item x="0"/>
        <item x="1"/>
        <item x="5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8">
        <item x="1"/>
        <item x="8"/>
        <item x="2"/>
        <item x="3"/>
        <item x="0"/>
        <item x="6"/>
        <item x="5"/>
        <item x="7"/>
        <item x="4"/>
        <item x="9"/>
        <item x="15"/>
        <item x="11"/>
        <item x="16"/>
        <item x="10"/>
        <item x="12"/>
        <item x="14"/>
        <item x="13"/>
        <item t="default"/>
      </items>
    </pivotField>
    <pivotField compact="0" showAll="0">
      <items count="7">
        <item x="0"/>
        <item x="4"/>
        <item x="1"/>
        <item x="5"/>
        <item x="2"/>
        <item x="3"/>
        <item t="default"/>
      </items>
    </pivotField>
    <pivotField dataField="1" compact="0" showAll="0">
      <items count="13">
        <item x="1"/>
        <item x="7"/>
        <item x="2"/>
        <item x="3"/>
        <item x="0"/>
        <item x="5"/>
        <item x="11"/>
        <item x="8"/>
        <item x="6"/>
        <item x="4"/>
        <item x="10"/>
        <item x="9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_net_revenue_us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9:B63" firstHeaderRow="1" firstDataRow="1" firstDataCol="1"/>
  <pivotFields count="1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22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3">
        <item x="1"/>
        <item x="7"/>
        <item x="2"/>
        <item x="3"/>
        <item x="0"/>
        <item x="5"/>
        <item x="11"/>
        <item x="8"/>
        <item x="6"/>
        <item x="4"/>
        <item x="10"/>
        <item x="9"/>
        <item t="default"/>
      </items>
    </pivotField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net_revenue_us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75:B82" firstHeaderRow="1" firstDataRow="1" firstDataCol="1" rowPageCount="1" colPageCount="1"/>
  <pivotFields count="17">
    <pivotField compact="0" showAll="0">
      <items count="203">
        <item x="1"/>
        <item x="6"/>
        <item x="10"/>
        <item x="16"/>
        <item x="19"/>
        <item x="20"/>
        <item x="21"/>
        <item x="22"/>
        <item x="24"/>
        <item x="23"/>
        <item x="25"/>
        <item x="26"/>
        <item x="27"/>
        <item x="28"/>
        <item x="29"/>
        <item x="30"/>
        <item x="32"/>
        <item x="31"/>
        <item x="34"/>
        <item x="33"/>
        <item x="35"/>
        <item x="37"/>
        <item x="36"/>
        <item x="38"/>
        <item x="40"/>
        <item x="39"/>
        <item x="42"/>
        <item x="41"/>
        <item x="43"/>
        <item x="45"/>
        <item x="44"/>
        <item x="46"/>
        <item x="47"/>
        <item x="49"/>
        <item x="48"/>
        <item x="51"/>
        <item x="50"/>
        <item x="52"/>
        <item x="53"/>
        <item x="54"/>
        <item x="55"/>
        <item x="56"/>
        <item x="57"/>
        <item x="58"/>
        <item x="61"/>
        <item x="60"/>
        <item x="59"/>
        <item x="62"/>
        <item x="63"/>
        <item x="64"/>
        <item x="65"/>
        <item x="66"/>
        <item x="67"/>
        <item x="69"/>
        <item x="68"/>
        <item x="70"/>
        <item x="71"/>
        <item x="73"/>
        <item x="72"/>
        <item x="75"/>
        <item x="74"/>
        <item x="79"/>
        <item x="78"/>
        <item x="77"/>
        <item x="76"/>
        <item x="80"/>
        <item x="82"/>
        <item x="81"/>
        <item x="83"/>
        <item x="85"/>
        <item x="84"/>
        <item x="87"/>
        <item x="86"/>
        <item x="88"/>
        <item x="92"/>
        <item x="91"/>
        <item x="90"/>
        <item x="89"/>
        <item x="93"/>
        <item x="94"/>
        <item x="96"/>
        <item x="95"/>
        <item x="97"/>
        <item x="98"/>
        <item x="100"/>
        <item x="99"/>
        <item x="102"/>
        <item x="101"/>
        <item x="103"/>
        <item x="104"/>
        <item x="105"/>
        <item x="107"/>
        <item x="106"/>
        <item x="110"/>
        <item x="109"/>
        <item x="108"/>
        <item x="111"/>
        <item x="113"/>
        <item x="112"/>
        <item x="114"/>
        <item x="116"/>
        <item x="115"/>
        <item x="119"/>
        <item x="118"/>
        <item x="117"/>
        <item x="120"/>
        <item x="121"/>
        <item x="122"/>
        <item x="123"/>
        <item x="127"/>
        <item x="126"/>
        <item x="125"/>
        <item x="124"/>
        <item x="129"/>
        <item x="128"/>
        <item x="130"/>
        <item x="132"/>
        <item x="131"/>
        <item x="134"/>
        <item x="133"/>
        <item x="135"/>
        <item x="136"/>
        <item x="137"/>
        <item x="141"/>
        <item x="140"/>
        <item x="139"/>
        <item x="138"/>
        <item x="143"/>
        <item x="142"/>
        <item x="144"/>
        <item x="145"/>
        <item x="146"/>
        <item x="147"/>
        <item x="149"/>
        <item x="148"/>
        <item x="150"/>
        <item x="151"/>
        <item x="154"/>
        <item x="153"/>
        <item x="152"/>
        <item x="156"/>
        <item x="155"/>
        <item x="157"/>
        <item x="159"/>
        <item x="158"/>
        <item x="160"/>
        <item x="161"/>
        <item x="162"/>
        <item x="163"/>
        <item x="164"/>
        <item x="165"/>
        <item x="167"/>
        <item x="166"/>
        <item x="168"/>
        <item x="169"/>
        <item x="170"/>
        <item x="171"/>
        <item x="172"/>
        <item x="174"/>
        <item x="173"/>
        <item x="175"/>
        <item x="176"/>
        <item x="180"/>
        <item x="179"/>
        <item x="178"/>
        <item x="177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3"/>
        <item x="192"/>
        <item x="194"/>
        <item x="196"/>
        <item x="195"/>
        <item x="198"/>
        <item x="197"/>
        <item x="199"/>
        <item x="200"/>
        <item x="201"/>
        <item x="0"/>
        <item x="2"/>
        <item x="3"/>
        <item x="4"/>
        <item x="5"/>
        <item x="7"/>
        <item x="8"/>
        <item x="9"/>
        <item x="11"/>
        <item x="12"/>
        <item x="13"/>
        <item x="14"/>
        <item x="15"/>
        <item x="17"/>
        <item x="18"/>
        <item t="default"/>
      </items>
    </pivotField>
    <pivotField compact="0" showAll="0"/>
    <pivotField compact="0" showAll="0"/>
    <pivotField compact="0" numFmtId="22" showAll="0"/>
    <pivotField compact="0" showAll="0"/>
    <pivotField axis="axisPage" compact="0" multipleItemSelectionAllowed="1" showAll="0">
      <items count="4">
        <item h="1" x="2"/>
        <item h="1" x="0"/>
        <item x="1"/>
        <item t="default"/>
      </items>
    </pivotField>
    <pivotField dataField="1" compact="0" showAll="0">
      <items count="7">
        <item x="5"/>
        <item x="0"/>
        <item x="2"/>
        <item x="1"/>
        <item x="4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6"/>
        <item x="5"/>
        <item x="2"/>
        <item x="3"/>
        <item x="4"/>
        <item x="1"/>
        <item t="default"/>
      </items>
    </pivotField>
  </pivotFields>
  <rowFields count="1">
    <field x="1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5"/>
  </pageFields>
  <dataFields count="1">
    <dataField name="Total_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90:B97" firstHeaderRow="1" firstDataRow="1" firstDataCol="1"/>
  <pivotFields count="8"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numFmtId="22" showAll="0"/>
    <pivotField dataField="1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axis="axisRow" compact="0" sortType="ascending" showAll="0">
      <items count="7">
        <item x="2"/>
        <item x="5"/>
        <item x="3"/>
        <item x="0"/>
        <item x="4"/>
        <item x="1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_refunded" fld="3" baseField="0" baseItem="0"/>
  </dataFields>
  <formats count="9">
    <format dxfId="0">
      <pivotArea field="7" type="button" dataOnly="0" labelOnly="1" outline="0" fieldPosition="0"/>
    </format>
    <format dxfId="1">
      <pivotArea dataOnly="0" labelOnly="1" grandRow="1" fieldPosition="0"/>
    </format>
    <format dxfId="2">
      <pivotArea grandRow="1" collapsedLevelsAreSubtotals="1" fieldPosition="0"/>
    </format>
    <format dxfId="3">
      <pivotArea collapsedLevelsAreSubtotals="1" fieldPosition="0">
        <references count="1">
          <reference field="7" count="1" selected="0">
            <x v="0"/>
          </reference>
        </references>
      </pivotArea>
    </format>
    <format dxfId="4">
      <pivotArea collapsedLevelsAreSubtotals="1" fieldPosition="0">
        <references count="1">
          <reference field="7" count="1" selected="0">
            <x v="1"/>
          </reference>
        </references>
      </pivotArea>
    </format>
    <format dxfId="5">
      <pivotArea collapsedLevelsAreSubtotals="1" fieldPosition="0">
        <references count="1">
          <reference field="7" count="1" selected="0">
            <x v="2"/>
          </reference>
        </references>
      </pivotArea>
    </format>
    <format dxfId="6">
      <pivotArea collapsedLevelsAreSubtotals="1" fieldPosition="0">
        <references count="1">
          <reference field="7" count="1" selected="0">
            <x v="3"/>
          </reference>
        </references>
      </pivotArea>
    </format>
    <format dxfId="7">
      <pivotArea collapsedLevelsAreSubtotals="1" fieldPosition="0">
        <references count="1">
          <reference field="7" count="1" selected="0">
            <x v="4"/>
          </reference>
        </references>
      </pivotArea>
    </format>
    <format dxfId="8">
      <pivotArea collapsedLevelsAreSubtotals="1" fieldPosition="0">
        <references count="1">
          <reference field="7" count="1" selected="0">
            <x v="5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vice_type" sourceName="device_type">
  <pivotTables>
    <pivotTable tabId="9" name="users_report"/>
  </pivotTables>
  <data>
    <tabular pivotCacheId="1">
      <items count="3">
        <i x="0" s="0"/>
        <i x="2" s="1"/>
        <i x="1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vice_type1" sourceName="device_type">
  <pivotTables>
    <pivotTable tabId="9" name="PivotTable2"/>
  </pivotTables>
  <data>
    <tabular pivotCacheId="2">
      <items count="3">
        <i x="0" s="1"/>
        <i x="2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vice_type" cache="Slicer_device_type" caption="device_type" rowHeight="225425"/>
  <slicer name="device_type 1" cache="Slicer_device_type1" caption="device_type" rowHeight="225425"/>
</slicers>
</file>

<file path=xl/tables/table1.xml><?xml version="1.0" encoding="utf-8"?>
<table xmlns="http://schemas.openxmlformats.org/spreadsheetml/2006/main" id="1" name="users" displayName="users" ref="A1:J501" totalsRowShown="0">
  <autoFilter xmlns:etc="http://www.wps.cn/officeDocument/2017/etCustomData" ref="A1:J501" etc:filterBottomFollowUsedRange="0"/>
  <tableColumns count="10">
    <tableColumn id="1" name="user_id"/>
    <tableColumn id="2" name="registered_at" dataDxfId="9"/>
    <tableColumn id="3" name="country_code"/>
    <tableColumn id="4" name="device_type"/>
    <tableColumn id="5" name="campaign_id"/>
    <tableColumn id="6" name="successful_payments_count" dataDxfId="10">
      <calculatedColumnFormula>COUNTIFS(payments!$B$2:$B$203,A2,payments!$F$2:$F$203,"succeeded")</calculatedColumnFormula>
    </tableColumn>
    <tableColumn id="7" name="paid_usd" dataDxfId="11">
      <calculatedColumnFormula>SUMIFS(payments!$G$2:$G$203,payments!$F$2:$F$203,"succeeded",payments!$B$2:$B$203,A2)</calculatedColumnFormula>
    </tableColumn>
    <tableColumn id="8" name="refunded_usd" dataDxfId="12">
      <calculatedColumnFormula>SUMIF(refunds!$G$2:$G$15,A2,refunds!$D$2:$D$15)</calculatedColumnFormula>
    </tableColumn>
    <tableColumn id="10" name="net_revenue_usd" dataDxfId="13">
      <calculatedColumnFormula>users[[#This Row],[paid_usd]]-users[[#This Row],[refunded_usd]]</calculatedColumnFormula>
    </tableColumn>
    <tableColumn id="9" name="is_payer" dataDxfId="14">
      <calculatedColumnFormula>IF(users[[#This Row],[successful_payments_count]]&gt;0,1,0)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payments" displayName="payments" ref="A1:Q203" totalsRowShown="0">
  <autoFilter xmlns:etc="http://www.wps.cn/officeDocument/2017/etCustomData" ref="A1:Q203" etc:filterBottomFollowUsedRange="0"/>
  <sortState ref="A1:Q203">
    <sortCondition ref="B1"/>
  </sortState>
  <tableColumns count="17">
    <tableColumn id="1" name="payment_id"/>
    <tableColumn id="2" name="user_id"/>
    <tableColumn id="3" name="package_id"/>
    <tableColumn id="4" name="attempted_at" dataDxfId="15"/>
    <tableColumn id="5" name="completed_at"/>
    <tableColumn id="6" name="status"/>
    <tableColumn id="7" name="amount_usd"/>
    <tableColumn id="8" name="coins_granted"/>
    <tableColumn id="9" name="country_code" dataDxfId="16">
      <calculatedColumnFormula>_xlfn.XLOOKUP(B2,users!A:A,users!C:C)</calculatedColumnFormula>
    </tableColumn>
    <tableColumn id="10" name="device_type" dataDxfId="17">
      <calculatedColumnFormula>_xlfn.XLOOKUP(B2,users!A:A,users!D:D)</calculatedColumnFormula>
    </tableColumn>
    <tableColumn id="11" name="Package_type (XLOOKUP)" dataDxfId="18">
      <calculatedColumnFormula>_xlfn.XLOOKUP(C2,coin_packages!A:A,coin_packages!B:B)</calculatedColumnFormula>
    </tableColumn>
    <tableColumn id="12" name="Package_type_(INDEX+MATCH)" dataDxfId="19">
      <calculatedColumnFormula array="1">INDEX(coin_packages!$B$2:$B$5,MATCH(C2,coin_packages!$A$2:$A$5,0))</calculatedColumnFormula>
    </tableColumn>
    <tableColumn id="13" name="paid_usd" dataDxfId="20">
      <calculatedColumnFormula>IF(F2="succeeded",G2,0)</calculatedColumnFormula>
    </tableColumn>
    <tableColumn id="14" name="is_us_mobile_or_tablet" dataDxfId="21">
      <calculatedColumnFormula>AND(F2="succeeded",I2="US",OR(J2="tablet",J2="mobile"))</calculatedColumnFormula>
    </tableColumn>
    <tableColumn id="15" name="has_refunded" dataDxfId="22">
      <calculatedColumnFormula>COUNTIF(refunds!$B$2:$B$15,A2)&gt;0</calculatedColumnFormula>
    </tableColumn>
    <tableColumn id="16" name="refunded_sum" dataDxfId="23">
      <calculatedColumnFormula>_xlfn.XLOOKUP(A2,refunds!$B$2:$B$15,refunds!$D$2:$D$15,0,0)</calculatedColumnFormula>
    </tableColumn>
    <tableColumn id="17" name="month" dataDxfId="24">
      <calculatedColumnFormula>IF(OR(payments[[#This Row],[completed_at]]="",payments[[#This Row],[completed_at]]=0),"",TEXT(payments[[#This Row],[completed_at]],"yyyy-mm"))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refunds" displayName="refunds" ref="A1:H15" totalsRowShown="0">
  <autoFilter xmlns:etc="http://www.wps.cn/officeDocument/2017/etCustomData" ref="A1:H15" etc:filterBottomFollowUsedRange="0"/>
  <tableColumns count="8">
    <tableColumn id="1" name="refund_id"/>
    <tableColumn id="2" name="payment_id"/>
    <tableColumn id="3" name="refunded_at" dataDxfId="25"/>
    <tableColumn id="4" name="amount_usd"/>
    <tableColumn id="5" name="coins_revoked"/>
    <tableColumn id="6" name="reason"/>
    <tableColumn id="7" name="user_id" dataDxfId="26">
      <calculatedColumnFormula>_xlfn.XLOOKUP(B2,payments!$A$2:$A$203,payments!$B$2:$B$203)</calculatedColumnFormula>
    </tableColumn>
    <tableColumn id="8" name="Month" dataDxfId="27">
      <calculatedColumnFormula>IF(OR(refunds[[#This Row],[refunded_at]]="",refunds[[#This Row],[refunded_at]]=0),"",TEXT(refunds[[#This Row],[refunded_at]],"yyyy-mm"))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D5" totalsRowShown="0">
  <autoFilter xmlns:etc="http://www.wps.cn/officeDocument/2017/etCustomData" ref="A1:D5" etc:filterBottomFollowUsedRange="0"/>
  <tableColumns count="4">
    <tableColumn id="1" name="package_id"/>
    <tableColumn id="2" name="package_name"/>
    <tableColumn id="3" name="coins"/>
    <tableColumn id="4" name="list_price_usd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F9" totalsRowShown="0">
  <autoFilter xmlns:etc="http://www.wps.cn/officeDocument/2017/etCustomData" ref="A1:F9" etc:filterBottomFollowUsedRange="0"/>
  <tableColumns count="6">
    <tableColumn id="1" name="campaign_id"/>
    <tableColumn id="2" name="campaign_name"/>
    <tableColumn id="3" name="channel"/>
    <tableColumn id="4" name="started_at" dataDxfId="28"/>
    <tableColumn id="5" name="ended_at" dataDxfId="29"/>
    <tableColumn id="6" name="spend_usd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7" Type="http://schemas.microsoft.com/office/2007/relationships/slicer" Target="../slicers/slicer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97"/>
  <sheetViews>
    <sheetView tabSelected="1" zoomScale="85" zoomScaleNormal="85" topLeftCell="A61" workbookViewId="0">
      <selection activeCell="I69" sqref="I69"/>
    </sheetView>
  </sheetViews>
  <sheetFormatPr defaultColWidth="8.88888888888889" defaultRowHeight="14.4"/>
  <cols>
    <col min="1" max="1" width="15.7777777777778"/>
    <col min="2" max="6" width="21.8888888888889"/>
    <col min="7" max="7" width="15.2222222222222" style="6"/>
    <col min="8" max="8" width="11.4444444444444" style="1"/>
    <col min="9" max="9" width="12.8888888888889" style="1"/>
  </cols>
  <sheetData>
    <row r="2" spans="1:11">
      <c r="K2" t="s">
        <v>0</v>
      </c>
    </row>
    <row r="3" spans="1:11">
      <c r="K3" t="s">
        <v>1</v>
      </c>
    </row>
    <row r="4" spans="1:11">
      <c r="K4" t="s">
        <v>2</v>
      </c>
    </row>
    <row r="5" spans="1:11">
      <c r="I5"/>
    </row>
    <row r="6" spans="1:11">
      <c r="I6"/>
    </row>
    <row r="7" spans="1:11">
      <c r="I7"/>
    </row>
    <row r="8" spans="1:11">
      <c r="I8"/>
    </row>
    <row r="9" spans="1:11">
      <c r="I9"/>
    </row>
    <row r="12" spans="1:11">
      <c r="A12" t="s">
        <v>3</v>
      </c>
      <c r="B12" t="s">
        <v>4</v>
      </c>
    </row>
    <row r="14" spans="1:11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10</v>
      </c>
      <c r="G14" t="s">
        <v>11</v>
      </c>
      <c r="H14" s="1" t="s">
        <v>12</v>
      </c>
      <c r="I14" s="1" t="s">
        <v>13</v>
      </c>
    </row>
    <row r="15" spans="1:11">
      <c r="A15" t="s">
        <v>14</v>
      </c>
      <c r="B15">
        <v>24</v>
      </c>
      <c r="C15">
        <v>6</v>
      </c>
      <c r="D15">
        <v>58.92</v>
      </c>
      <c r="E15">
        <v>0</v>
      </c>
      <c r="F15">
        <v>58.92</v>
      </c>
      <c r="G15" s="6">
        <f>IFERROR(C15/B15,0)</f>
        <v>0.25</v>
      </c>
      <c r="H15" s="1">
        <f>IFERROR(F15/B15,0)</f>
        <v>2.455</v>
      </c>
      <c r="I15" s="1">
        <f>IFERROR(F15/C15,0)</f>
        <v>9.82</v>
      </c>
    </row>
    <row r="16" spans="1:11">
      <c r="A16" t="s">
        <v>15</v>
      </c>
      <c r="B16">
        <v>33</v>
      </c>
      <c r="C16">
        <v>7</v>
      </c>
      <c r="D16">
        <v>115.9</v>
      </c>
      <c r="E16">
        <v>39.98</v>
      </c>
      <c r="F16">
        <v>75.92</v>
      </c>
      <c r="G16" s="6">
        <f t="shared" ref="G16:G21" si="0">IFERROR(C16/B16,0)</f>
        <v>0.212121212121212</v>
      </c>
      <c r="H16" s="1">
        <f>IFERROR(F16/B16,0)</f>
        <v>2.30060606060606</v>
      </c>
      <c r="I16" s="1">
        <f t="shared" ref="I16:I21" si="1">IFERROR(F16/C16,0)</f>
        <v>10.8457142857143</v>
      </c>
    </row>
    <row r="17" spans="1:9">
      <c r="A17" t="s">
        <v>16</v>
      </c>
      <c r="B17">
        <v>23</v>
      </c>
      <c r="C17">
        <v>6</v>
      </c>
      <c r="D17">
        <v>84.93</v>
      </c>
      <c r="E17">
        <v>0</v>
      </c>
      <c r="F17">
        <v>84.93</v>
      </c>
      <c r="G17" s="6">
        <f t="shared" si="0"/>
        <v>0.260869565217391</v>
      </c>
      <c r="H17" s="1">
        <f>IFERROR(F17/B17,0)</f>
        <v>3.69260869565217</v>
      </c>
      <c r="I17" s="1">
        <f t="shared" si="1"/>
        <v>14.155</v>
      </c>
    </row>
    <row r="18" spans="1:9">
      <c r="A18" t="s">
        <v>17</v>
      </c>
      <c r="B18">
        <v>29</v>
      </c>
      <c r="C18">
        <v>9</v>
      </c>
      <c r="D18">
        <v>120.9</v>
      </c>
      <c r="E18">
        <v>9.99</v>
      </c>
      <c r="F18">
        <v>110.91</v>
      </c>
      <c r="G18" s="6">
        <f t="shared" si="0"/>
        <v>0.310344827586207</v>
      </c>
      <c r="H18" s="1">
        <f t="shared" ref="H16:H21" si="2">IFERROR(F18/B18,0)</f>
        <v>3.82448275862069</v>
      </c>
      <c r="I18" s="1">
        <f t="shared" si="1"/>
        <v>12.3233333333333</v>
      </c>
    </row>
    <row r="19" customHeight="1" spans="1:9">
      <c r="A19" t="s">
        <v>18</v>
      </c>
      <c r="B19">
        <v>27</v>
      </c>
      <c r="C19">
        <v>8</v>
      </c>
      <c r="D19">
        <v>119.89</v>
      </c>
      <c r="E19">
        <v>0</v>
      </c>
      <c r="F19">
        <v>119.89</v>
      </c>
      <c r="G19" s="6">
        <f t="shared" si="0"/>
        <v>0.296296296296296</v>
      </c>
      <c r="H19" s="1">
        <f t="shared" si="2"/>
        <v>4.44037037037037</v>
      </c>
      <c r="I19" s="1">
        <f t="shared" si="1"/>
        <v>14.98625</v>
      </c>
    </row>
    <row r="20" spans="1:9">
      <c r="A20" t="s">
        <v>19</v>
      </c>
      <c r="B20">
        <v>38</v>
      </c>
      <c r="C20">
        <v>13</v>
      </c>
      <c r="D20">
        <v>165.86</v>
      </c>
      <c r="E20">
        <v>19.99</v>
      </c>
      <c r="F20">
        <v>145.87</v>
      </c>
      <c r="G20" s="6">
        <f t="shared" si="0"/>
        <v>0.342105263157895</v>
      </c>
      <c r="H20" s="1">
        <f t="shared" si="2"/>
        <v>3.83868421052632</v>
      </c>
      <c r="I20" s="1">
        <f t="shared" si="1"/>
        <v>11.2207692307692</v>
      </c>
    </row>
    <row r="21" spans="1:9">
      <c r="A21" t="s">
        <v>20</v>
      </c>
      <c r="B21">
        <v>174</v>
      </c>
      <c r="C21">
        <v>49</v>
      </c>
      <c r="D21">
        <v>666.4</v>
      </c>
      <c r="E21">
        <v>69.96</v>
      </c>
      <c r="F21">
        <v>596.44</v>
      </c>
      <c r="G21" s="6">
        <f t="shared" si="0"/>
        <v>0.281609195402299</v>
      </c>
      <c r="H21" s="1">
        <f t="shared" si="2"/>
        <v>3.42781609195402</v>
      </c>
      <c r="I21" s="1">
        <f t="shared" si="1"/>
        <v>12.1722448979592</v>
      </c>
    </row>
    <row r="34" spans="1:2">
      <c r="A34" t="s">
        <v>5</v>
      </c>
      <c r="B34" t="s">
        <v>21</v>
      </c>
    </row>
    <row r="35" spans="1:2">
      <c r="A35" t="s">
        <v>16</v>
      </c>
      <c r="B35">
        <v>133.88</v>
      </c>
    </row>
    <row r="36" spans="1:2">
      <c r="A36" t="s">
        <v>17</v>
      </c>
      <c r="B36">
        <v>99.92</v>
      </c>
    </row>
    <row r="37" spans="1:2">
      <c r="A37" t="s">
        <v>18</v>
      </c>
      <c r="B37">
        <v>71.94</v>
      </c>
    </row>
    <row r="38" spans="1:2">
      <c r="A38" t="s">
        <v>15</v>
      </c>
      <c r="B38">
        <v>9.99</v>
      </c>
    </row>
    <row r="39" spans="1:2">
      <c r="A39" t="s">
        <v>14</v>
      </c>
      <c r="B39">
        <v>121.91</v>
      </c>
    </row>
    <row r="40" spans="1:2">
      <c r="A40" t="s">
        <v>19</v>
      </c>
      <c r="B40">
        <v>104.89</v>
      </c>
    </row>
    <row r="41" spans="1:2">
      <c r="A41" t="s">
        <v>20</v>
      </c>
      <c r="B41">
        <v>542.53</v>
      </c>
    </row>
    <row r="59" spans="1:2">
      <c r="A59" t="s">
        <v>3</v>
      </c>
      <c r="B59" t="s">
        <v>21</v>
      </c>
    </row>
    <row r="60" spans="1:2">
      <c r="A60" t="s">
        <v>22</v>
      </c>
      <c r="B60">
        <v>542.53</v>
      </c>
    </row>
    <row r="61" spans="1:2">
      <c r="A61" t="s">
        <v>4</v>
      </c>
      <c r="B61">
        <v>596.44</v>
      </c>
    </row>
    <row r="62" spans="1:2">
      <c r="A62" t="s">
        <v>23</v>
      </c>
      <c r="B62">
        <v>578.54</v>
      </c>
    </row>
    <row r="63" spans="1:2">
      <c r="A63" t="s">
        <v>20</v>
      </c>
      <c r="B63">
        <v>1717.51</v>
      </c>
    </row>
    <row r="69" ht="21" customHeight="1" spans="1:8">
      <c r="G69"/>
      <c r="H69"/>
    </row>
    <row r="70" ht="21" customHeight="1" spans="1:8">
      <c r="G70"/>
      <c r="H70"/>
    </row>
    <row r="71" ht="21" customHeight="1" spans="1:8">
      <c r="G71"/>
      <c r="H71"/>
    </row>
    <row r="72" ht="21" customHeight="1"/>
    <row r="73" ht="21" customHeight="1" spans="1:8">
      <c r="A73" t="s">
        <v>24</v>
      </c>
      <c r="B73" t="s">
        <v>25</v>
      </c>
    </row>
    <row r="74" ht="21" customHeight="1"/>
    <row r="75" ht="21" customHeight="1" spans="1:8">
      <c r="A75" t="s">
        <v>26</v>
      </c>
      <c r="B75" t="s">
        <v>27</v>
      </c>
    </row>
    <row r="76" ht="21" customHeight="1" spans="1:8">
      <c r="A76" t="s">
        <v>28</v>
      </c>
      <c r="B76">
        <v>69.96</v>
      </c>
    </row>
    <row r="77" ht="21" customHeight="1" spans="1:8">
      <c r="A77" t="s">
        <v>29</v>
      </c>
      <c r="B77">
        <v>84.91</v>
      </c>
    </row>
    <row r="78" spans="1:8">
      <c r="A78" t="s">
        <v>30</v>
      </c>
      <c r="B78">
        <v>295.75</v>
      </c>
    </row>
    <row r="79" spans="1:8">
      <c r="A79" t="s">
        <v>31</v>
      </c>
      <c r="B79">
        <v>349.7</v>
      </c>
    </row>
    <row r="80" spans="1:8">
      <c r="A80" t="s">
        <v>32</v>
      </c>
      <c r="B80">
        <v>540.53</v>
      </c>
    </row>
    <row r="81" spans="1:2">
      <c r="A81" t="s">
        <v>33</v>
      </c>
      <c r="B81">
        <v>586.52</v>
      </c>
    </row>
    <row r="82" spans="1:2">
      <c r="A82" t="s">
        <v>20</v>
      </c>
      <c r="B82">
        <v>1927.37</v>
      </c>
    </row>
    <row r="90" spans="1:2">
      <c r="A90" s="7" t="s">
        <v>34</v>
      </c>
      <c r="B90" s="7" t="s">
        <v>35</v>
      </c>
    </row>
    <row r="91" spans="1:2">
      <c r="A91" t="s">
        <v>28</v>
      </c>
      <c r="B91" s="8">
        <v>39.98</v>
      </c>
    </row>
    <row r="92" spans="1:2">
      <c r="A92" t="s">
        <v>29</v>
      </c>
      <c r="B92" s="8">
        <v>9.99</v>
      </c>
    </row>
    <row r="93" spans="1:2">
      <c r="A93" t="s">
        <v>30</v>
      </c>
      <c r="B93" s="8">
        <v>39.98</v>
      </c>
    </row>
    <row r="94" spans="1:2">
      <c r="A94" t="s">
        <v>31</v>
      </c>
      <c r="B94" s="8">
        <v>34.97</v>
      </c>
    </row>
    <row r="95" spans="1:2">
      <c r="A95" t="s">
        <v>32</v>
      </c>
      <c r="B95" s="8">
        <v>49.97</v>
      </c>
    </row>
    <row r="96" spans="1:2">
      <c r="A96" t="s">
        <v>33</v>
      </c>
      <c r="B96" s="8">
        <v>34.97</v>
      </c>
    </row>
    <row r="97" spans="1:2">
      <c r="A97" s="7" t="s">
        <v>20</v>
      </c>
      <c r="B97" s="7">
        <v>209.86</v>
      </c>
    </row>
  </sheetData>
  <pageMargins left="0.75" right="0.75" top="1" bottom="1" header="0.5" footer="0.5"/>
  <headerFooter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zoomScaleSheetLayoutView="60" topLeftCell="B1" workbookViewId="0">
      <selection activeCell="J13" sqref="J13"/>
    </sheetView>
  </sheetViews>
  <sheetFormatPr defaultColWidth="10" defaultRowHeight="14.4"/>
  <cols>
    <col min="1" max="5" width="17.4444444444444" customWidth="1"/>
    <col min="6" max="6" width="32.3333333333333" customWidth="1"/>
    <col min="7" max="7" width="22.8796296296296" customWidth="1"/>
    <col min="8" max="8" width="22.1111111111111" customWidth="1"/>
    <col min="9" max="9" width="23.5555555555556" customWidth="1"/>
    <col min="10" max="10" width="25.1111111111111" customWidth="1"/>
  </cols>
  <sheetData>
    <row r="1" spans="1:10">
      <c r="A1" t="s">
        <v>36</v>
      </c>
      <c r="B1" t="s">
        <v>37</v>
      </c>
      <c r="C1" t="s">
        <v>5</v>
      </c>
      <c r="D1" t="s">
        <v>3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>
      <c r="A2">
        <v>1</v>
      </c>
      <c r="B2" s="3">
        <v>46141.4006365741</v>
      </c>
      <c r="C2" t="s">
        <v>16</v>
      </c>
      <c r="D2" t="s">
        <v>22</v>
      </c>
      <c r="E2">
        <v>6</v>
      </c>
      <c r="F2" s="4">
        <f>COUNTIFS(payments!$B$2:$B$203,A2,payments!$F$2:$F$203,"succeeded")</f>
        <v>1</v>
      </c>
      <c r="G2" s="4">
        <f>SUMIFS(payments!$G$2:$G$203,payments!$F$2:$F$203,"succeeded",payments!$B$2:$B$203,A2)</f>
        <v>9.99</v>
      </c>
      <c r="H2" s="4">
        <f>SUMIF(refunds!$G$2:$G$15,A2,refunds!$D$2:$D$15)</f>
        <v>0</v>
      </c>
      <c r="I2" s="4">
        <f>users[[#This Row],[paid_usd]]-users[[#This Row],[refunded_usd]]</f>
        <v>9.99</v>
      </c>
      <c r="J2" s="4">
        <f>IF(users[[#This Row],[successful_payments_count]]&gt;0,1,0)</f>
        <v>1</v>
      </c>
    </row>
    <row r="3" spans="1:10">
      <c r="A3">
        <v>2</v>
      </c>
      <c r="B3" s="3">
        <v>46144.2553356482</v>
      </c>
      <c r="C3" t="s">
        <v>19</v>
      </c>
      <c r="D3" t="s">
        <v>23</v>
      </c>
      <c r="E3">
        <v>7</v>
      </c>
      <c r="F3" s="4">
        <f>COUNTIFS(payments!$B$2:$B$203,A3,payments!$F$2:$F$203,"succeeded")</f>
        <v>0</v>
      </c>
      <c r="G3" s="4">
        <f>SUMIFS(payments!$G$2:$G$203,payments!$F$2:$F$203,"succeeded",payments!$B$2:$B$203,A3)</f>
        <v>0</v>
      </c>
      <c r="H3" s="4">
        <f>SUMIF(refunds!$G$2:$G$15,A3,refunds!$D$2:$D$15)</f>
        <v>0</v>
      </c>
      <c r="I3" s="4">
        <f>users[[#This Row],[paid_usd]]-users[[#This Row],[refunded_usd]]</f>
        <v>0</v>
      </c>
      <c r="J3" s="4">
        <f>IF(users[[#This Row],[successful_payments_count]]&gt;0,1,0)</f>
        <v>0</v>
      </c>
    </row>
    <row r="4" spans="1:10">
      <c r="A4">
        <v>3</v>
      </c>
      <c r="B4" s="3">
        <v>46075.4020138889</v>
      </c>
      <c r="C4" t="s">
        <v>17</v>
      </c>
      <c r="D4" t="s">
        <v>4</v>
      </c>
      <c r="E4">
        <v>5</v>
      </c>
      <c r="F4" s="4">
        <f>COUNTIFS(payments!$B$2:$B$203,A4,payments!$F$2:$F$203,"succeeded")</f>
        <v>0</v>
      </c>
      <c r="G4" s="4">
        <f>SUMIFS(payments!$G$2:$G$203,payments!$F$2:$F$203,"succeeded",payments!$B$2:$B$203,A4)</f>
        <v>0</v>
      </c>
      <c r="H4" s="4">
        <f>SUMIF(refunds!$G$2:$G$15,A4,refunds!$D$2:$D$15)</f>
        <v>0</v>
      </c>
      <c r="I4" s="4">
        <f>users[[#This Row],[paid_usd]]-users[[#This Row],[refunded_usd]]</f>
        <v>0</v>
      </c>
      <c r="J4" s="4">
        <f>IF(users[[#This Row],[successful_payments_count]]&gt;0,1,0)</f>
        <v>0</v>
      </c>
    </row>
    <row r="5" spans="1:10">
      <c r="A5">
        <v>4</v>
      </c>
      <c r="B5" s="3">
        <v>46156.7772337963</v>
      </c>
      <c r="C5" t="s">
        <v>18</v>
      </c>
      <c r="D5" t="s">
        <v>4</v>
      </c>
      <c r="E5">
        <v>6</v>
      </c>
      <c r="F5" s="4">
        <f>COUNTIFS(payments!$B$2:$B$203,A5,payments!$F$2:$F$203,"succeeded")</f>
        <v>0</v>
      </c>
      <c r="G5" s="4">
        <f>SUMIFS(payments!$G$2:$G$203,payments!$F$2:$F$203,"succeeded",payments!$B$2:$B$203,A5)</f>
        <v>0</v>
      </c>
      <c r="H5" s="4">
        <f>SUMIF(refunds!$G$2:$G$15,A5,refunds!$D$2:$D$15)</f>
        <v>0</v>
      </c>
      <c r="I5" s="4">
        <f>users[[#This Row],[paid_usd]]-users[[#This Row],[refunded_usd]]</f>
        <v>0</v>
      </c>
      <c r="J5" s="4">
        <f>IF(users[[#This Row],[successful_payments_count]]&gt;0,1,0)</f>
        <v>0</v>
      </c>
    </row>
    <row r="6" spans="1:10">
      <c r="A6">
        <v>5</v>
      </c>
      <c r="B6" s="3">
        <v>46178.485462963</v>
      </c>
      <c r="C6" t="s">
        <v>17</v>
      </c>
      <c r="D6" t="s">
        <v>4</v>
      </c>
      <c r="E6">
        <v>3</v>
      </c>
      <c r="F6" s="4">
        <f>COUNTIFS(payments!$B$2:$B$203,A6,payments!$F$2:$F$203,"succeeded")</f>
        <v>1</v>
      </c>
      <c r="G6" s="4">
        <f>SUMIFS(payments!$G$2:$G$203,payments!$F$2:$F$203,"succeeded",payments!$B$2:$B$203,A6)</f>
        <v>9.99</v>
      </c>
      <c r="H6" s="4">
        <f>SUMIF(refunds!$G$2:$G$15,A6,refunds!$D$2:$D$15)</f>
        <v>0</v>
      </c>
      <c r="I6" s="4">
        <f>users[[#This Row],[paid_usd]]-users[[#This Row],[refunded_usd]]</f>
        <v>9.99</v>
      </c>
      <c r="J6" s="4">
        <f>IF(users[[#This Row],[successful_payments_count]]&gt;0,1,0)</f>
        <v>1</v>
      </c>
    </row>
    <row r="7" spans="1:10">
      <c r="A7">
        <v>6</v>
      </c>
      <c r="B7" s="3">
        <v>46192.1885416667</v>
      </c>
      <c r="C7" t="s">
        <v>15</v>
      </c>
      <c r="D7" t="s">
        <v>23</v>
      </c>
      <c r="E7">
        <v>1</v>
      </c>
      <c r="F7" s="4">
        <f>COUNTIFS(payments!$B$2:$B$203,A7,payments!$F$2:$F$203,"succeeded")</f>
        <v>0</v>
      </c>
      <c r="G7" s="4">
        <f>SUMIFS(payments!$G$2:$G$203,payments!$F$2:$F$203,"succeeded",payments!$B$2:$B$203,A7)</f>
        <v>0</v>
      </c>
      <c r="H7" s="4">
        <f>SUMIF(refunds!$G$2:$G$15,A7,refunds!$D$2:$D$15)</f>
        <v>0</v>
      </c>
      <c r="I7" s="4">
        <f>users[[#This Row],[paid_usd]]-users[[#This Row],[refunded_usd]]</f>
        <v>0</v>
      </c>
      <c r="J7" s="4">
        <f>IF(users[[#This Row],[successful_payments_count]]&gt;0,1,0)</f>
        <v>0</v>
      </c>
    </row>
    <row r="8" spans="1:10">
      <c r="A8">
        <v>7</v>
      </c>
      <c r="B8" s="3">
        <v>46119.7713541667</v>
      </c>
      <c r="C8" t="s">
        <v>19</v>
      </c>
      <c r="D8" t="s">
        <v>23</v>
      </c>
      <c r="F8" s="4">
        <f>COUNTIFS(payments!$B$2:$B$203,A8,payments!$F$2:$F$203,"succeeded")</f>
        <v>0</v>
      </c>
      <c r="G8" s="4">
        <f>SUMIFS(payments!$G$2:$G$203,payments!$F$2:$F$203,"succeeded",payments!$B$2:$B$203,A8)</f>
        <v>0</v>
      </c>
      <c r="H8" s="4">
        <f>SUMIF(refunds!$G$2:$G$15,A8,refunds!$D$2:$D$15)</f>
        <v>0</v>
      </c>
      <c r="I8" s="4">
        <f>users[[#This Row],[paid_usd]]-users[[#This Row],[refunded_usd]]</f>
        <v>0</v>
      </c>
      <c r="J8" s="4">
        <f>IF(users[[#This Row],[successful_payments_count]]&gt;0,1,0)</f>
        <v>0</v>
      </c>
    </row>
    <row r="9" spans="1:10">
      <c r="A9">
        <v>8</v>
      </c>
      <c r="B9" s="3">
        <v>46033.8541203704</v>
      </c>
      <c r="C9" t="s">
        <v>17</v>
      </c>
      <c r="D9" t="s">
        <v>22</v>
      </c>
      <c r="E9">
        <v>3</v>
      </c>
      <c r="F9" s="4">
        <f>COUNTIFS(payments!$B$2:$B$203,A9,payments!$F$2:$F$203,"succeeded")</f>
        <v>1</v>
      </c>
      <c r="G9" s="4">
        <f>SUMIFS(payments!$G$2:$G$203,payments!$F$2:$F$203,"succeeded",payments!$B$2:$B$203,A9)</f>
        <v>4.99</v>
      </c>
      <c r="H9" s="4">
        <f>SUMIF(refunds!$G$2:$G$15,A9,refunds!$D$2:$D$15)</f>
        <v>0</v>
      </c>
      <c r="I9" s="4">
        <f>users[[#This Row],[paid_usd]]-users[[#This Row],[refunded_usd]]</f>
        <v>4.99</v>
      </c>
      <c r="J9" s="4">
        <f>IF(users[[#This Row],[successful_payments_count]]&gt;0,1,0)</f>
        <v>1</v>
      </c>
    </row>
    <row r="10" spans="1:10">
      <c r="A10">
        <v>9</v>
      </c>
      <c r="B10" s="3">
        <v>46142.2961458333</v>
      </c>
      <c r="C10" t="s">
        <v>16</v>
      </c>
      <c r="D10" t="s">
        <v>23</v>
      </c>
      <c r="E10">
        <v>3</v>
      </c>
      <c r="F10" s="4">
        <f>COUNTIFS(payments!$B$2:$B$203,A10,payments!$F$2:$F$203,"succeeded")</f>
        <v>0</v>
      </c>
      <c r="G10" s="4">
        <f>SUMIFS(payments!$G$2:$G$203,payments!$F$2:$F$203,"succeeded",payments!$B$2:$B$203,A10)</f>
        <v>0</v>
      </c>
      <c r="H10" s="4">
        <f>SUMIF(refunds!$G$2:$G$15,A10,refunds!$D$2:$D$15)</f>
        <v>0</v>
      </c>
      <c r="I10" s="4">
        <f>users[[#This Row],[paid_usd]]-users[[#This Row],[refunded_usd]]</f>
        <v>0</v>
      </c>
      <c r="J10" s="4">
        <f>IF(users[[#This Row],[successful_payments_count]]&gt;0,1,0)</f>
        <v>0</v>
      </c>
    </row>
    <row r="11" spans="1:10">
      <c r="A11">
        <v>10</v>
      </c>
      <c r="B11" s="3">
        <v>46098.2473842593</v>
      </c>
      <c r="C11" t="s">
        <v>16</v>
      </c>
      <c r="D11" t="s">
        <v>22</v>
      </c>
      <c r="E11">
        <v>7</v>
      </c>
      <c r="F11" s="4">
        <f>COUNTIFS(payments!$B$2:$B$203,A11,payments!$F$2:$F$203,"succeeded")</f>
        <v>0</v>
      </c>
      <c r="G11" s="4">
        <f>SUMIFS(payments!$G$2:$G$203,payments!$F$2:$F$203,"succeeded",payments!$B$2:$B$203,A11)</f>
        <v>0</v>
      </c>
      <c r="H11" s="4">
        <f>SUMIF(refunds!$G$2:$G$15,A11,refunds!$D$2:$D$15)</f>
        <v>0</v>
      </c>
      <c r="I11" s="4">
        <f>users[[#This Row],[paid_usd]]-users[[#This Row],[refunded_usd]]</f>
        <v>0</v>
      </c>
      <c r="J11" s="4">
        <f>IF(users[[#This Row],[successful_payments_count]]&gt;0,1,0)</f>
        <v>0</v>
      </c>
    </row>
    <row r="12" spans="1:10">
      <c r="A12">
        <v>11</v>
      </c>
      <c r="B12" s="3">
        <v>46053.5889930556</v>
      </c>
      <c r="C12" t="s">
        <v>14</v>
      </c>
      <c r="D12" t="s">
        <v>4</v>
      </c>
      <c r="E12">
        <v>2</v>
      </c>
      <c r="F12" s="4">
        <f>COUNTIFS(payments!$B$2:$B$203,A12,payments!$F$2:$F$203,"succeeded")</f>
        <v>0</v>
      </c>
      <c r="G12" s="4">
        <f>SUMIFS(payments!$G$2:$G$203,payments!$F$2:$F$203,"succeeded",payments!$B$2:$B$203,A12)</f>
        <v>0</v>
      </c>
      <c r="H12" s="4">
        <f>SUMIF(refunds!$G$2:$G$15,A12,refunds!$D$2:$D$15)</f>
        <v>0</v>
      </c>
      <c r="I12" s="4">
        <f>users[[#This Row],[paid_usd]]-users[[#This Row],[refunded_usd]]</f>
        <v>0</v>
      </c>
      <c r="J12" s="4">
        <f>IF(users[[#This Row],[successful_payments_count]]&gt;0,1,0)</f>
        <v>0</v>
      </c>
    </row>
    <row r="13" spans="1:10">
      <c r="A13">
        <v>12</v>
      </c>
      <c r="B13" s="3">
        <v>46101.5614236111</v>
      </c>
      <c r="C13" t="s">
        <v>18</v>
      </c>
      <c r="D13" t="s">
        <v>4</v>
      </c>
      <c r="F13" s="4">
        <f>COUNTIFS(payments!$B$2:$B$203,A13,payments!$F$2:$F$203,"succeeded")</f>
        <v>0</v>
      </c>
      <c r="G13" s="4">
        <f>SUMIFS(payments!$G$2:$G$203,payments!$F$2:$F$203,"succeeded",payments!$B$2:$B$203,A13)</f>
        <v>0</v>
      </c>
      <c r="H13" s="4">
        <f>SUMIF(refunds!$G$2:$G$15,A13,refunds!$D$2:$D$15)</f>
        <v>0</v>
      </c>
      <c r="I13" s="4">
        <f>users[[#This Row],[paid_usd]]-users[[#This Row],[refunded_usd]]</f>
        <v>0</v>
      </c>
      <c r="J13" s="4">
        <f>IF(users[[#This Row],[successful_payments_count]]&gt;0,1,0)</f>
        <v>0</v>
      </c>
    </row>
    <row r="14" spans="1:10">
      <c r="A14">
        <v>13</v>
      </c>
      <c r="B14" s="3">
        <v>46092.4454513889</v>
      </c>
      <c r="C14" t="s">
        <v>14</v>
      </c>
      <c r="D14" t="s">
        <v>23</v>
      </c>
      <c r="E14">
        <v>2</v>
      </c>
      <c r="F14" s="4">
        <f>COUNTIFS(payments!$B$2:$B$203,A14,payments!$F$2:$F$203,"succeeded")</f>
        <v>1</v>
      </c>
      <c r="G14" s="4">
        <f>SUMIFS(payments!$G$2:$G$203,payments!$F$2:$F$203,"succeeded",payments!$B$2:$B$203,A14)</f>
        <v>7.99</v>
      </c>
      <c r="H14" s="4">
        <f>SUMIF(refunds!$G$2:$G$15,A14,refunds!$D$2:$D$15)</f>
        <v>0</v>
      </c>
      <c r="I14" s="4">
        <f>users[[#This Row],[paid_usd]]-users[[#This Row],[refunded_usd]]</f>
        <v>7.99</v>
      </c>
      <c r="J14" s="4">
        <f>IF(users[[#This Row],[successful_payments_count]]&gt;0,1,0)</f>
        <v>1</v>
      </c>
    </row>
    <row r="15" spans="1:10">
      <c r="A15">
        <v>14</v>
      </c>
      <c r="B15" s="3">
        <v>46174.3862152778</v>
      </c>
      <c r="C15" t="s">
        <v>16</v>
      </c>
      <c r="D15" t="s">
        <v>23</v>
      </c>
      <c r="E15">
        <v>2</v>
      </c>
      <c r="F15" s="4">
        <f>COUNTIFS(payments!$B$2:$B$203,A15,payments!$F$2:$F$203,"succeeded")</f>
        <v>0</v>
      </c>
      <c r="G15" s="4">
        <f>SUMIFS(payments!$G$2:$G$203,payments!$F$2:$F$203,"succeeded",payments!$B$2:$B$203,A15)</f>
        <v>0</v>
      </c>
      <c r="H15" s="4">
        <f>SUMIF(refunds!$G$2:$G$15,A15,refunds!$D$2:$D$15)</f>
        <v>0</v>
      </c>
      <c r="I15" s="4">
        <f>users[[#This Row],[paid_usd]]-users[[#This Row],[refunded_usd]]</f>
        <v>0</v>
      </c>
      <c r="J15" s="4">
        <f>IF(users[[#This Row],[successful_payments_count]]&gt;0,1,0)</f>
        <v>0</v>
      </c>
    </row>
    <row r="16" spans="1:10">
      <c r="A16">
        <v>15</v>
      </c>
      <c r="B16" s="3">
        <v>46120.759837963</v>
      </c>
      <c r="C16" t="s">
        <v>17</v>
      </c>
      <c r="D16" t="s">
        <v>4</v>
      </c>
      <c r="F16" s="4">
        <f>COUNTIFS(payments!$B$2:$B$203,A16,payments!$F$2:$F$203,"succeeded")</f>
        <v>0</v>
      </c>
      <c r="G16" s="4">
        <f>SUMIFS(payments!$G$2:$G$203,payments!$F$2:$F$203,"succeeded",payments!$B$2:$B$203,A16)</f>
        <v>0</v>
      </c>
      <c r="H16" s="4">
        <f>SUMIF(refunds!$G$2:$G$15,A16,refunds!$D$2:$D$15)</f>
        <v>0</v>
      </c>
      <c r="I16" s="4">
        <f>users[[#This Row],[paid_usd]]-users[[#This Row],[refunded_usd]]</f>
        <v>0</v>
      </c>
      <c r="J16" s="4">
        <f>IF(users[[#This Row],[successful_payments_count]]&gt;0,1,0)</f>
        <v>0</v>
      </c>
    </row>
    <row r="17" spans="1:10">
      <c r="A17">
        <v>16</v>
      </c>
      <c r="B17" s="3">
        <v>46125.7809490741</v>
      </c>
      <c r="C17" t="s">
        <v>15</v>
      </c>
      <c r="D17" t="s">
        <v>23</v>
      </c>
      <c r="E17">
        <v>5</v>
      </c>
      <c r="F17" s="4">
        <f>COUNTIFS(payments!$B$2:$B$203,A17,payments!$F$2:$F$203,"succeeded")</f>
        <v>0</v>
      </c>
      <c r="G17" s="4">
        <f>SUMIFS(payments!$G$2:$G$203,payments!$F$2:$F$203,"succeeded",payments!$B$2:$B$203,A17)</f>
        <v>0</v>
      </c>
      <c r="H17" s="4">
        <f>SUMIF(refunds!$G$2:$G$15,A17,refunds!$D$2:$D$15)</f>
        <v>0</v>
      </c>
      <c r="I17" s="4">
        <f>users[[#This Row],[paid_usd]]-users[[#This Row],[refunded_usd]]</f>
        <v>0</v>
      </c>
      <c r="J17" s="4">
        <f>IF(users[[#This Row],[successful_payments_count]]&gt;0,1,0)</f>
        <v>0</v>
      </c>
    </row>
    <row r="18" spans="1:10">
      <c r="A18">
        <v>17</v>
      </c>
      <c r="B18" s="3">
        <v>46106.4692708333</v>
      </c>
      <c r="C18" t="s">
        <v>16</v>
      </c>
      <c r="D18" t="s">
        <v>22</v>
      </c>
      <c r="E18">
        <v>7</v>
      </c>
      <c r="F18" s="4">
        <f>COUNTIFS(payments!$B$2:$B$203,A18,payments!$F$2:$F$203,"succeeded")</f>
        <v>0</v>
      </c>
      <c r="G18" s="4">
        <f>SUMIFS(payments!$G$2:$G$203,payments!$F$2:$F$203,"succeeded",payments!$B$2:$B$203,A18)</f>
        <v>0</v>
      </c>
      <c r="H18" s="4">
        <f>SUMIF(refunds!$G$2:$G$15,A18,refunds!$D$2:$D$15)</f>
        <v>0</v>
      </c>
      <c r="I18" s="4">
        <f>users[[#This Row],[paid_usd]]-users[[#This Row],[refunded_usd]]</f>
        <v>0</v>
      </c>
      <c r="J18" s="4">
        <f>IF(users[[#This Row],[successful_payments_count]]&gt;0,1,0)</f>
        <v>0</v>
      </c>
    </row>
    <row r="19" spans="1:10">
      <c r="A19">
        <v>18</v>
      </c>
      <c r="B19" s="3">
        <v>46169.4443634259</v>
      </c>
      <c r="C19" t="s">
        <v>14</v>
      </c>
      <c r="D19" t="s">
        <v>22</v>
      </c>
      <c r="E19">
        <v>3</v>
      </c>
      <c r="F19" s="4">
        <f>COUNTIFS(payments!$B$2:$B$203,A19,payments!$F$2:$F$203,"succeeded")</f>
        <v>0</v>
      </c>
      <c r="G19" s="4">
        <f>SUMIFS(payments!$G$2:$G$203,payments!$F$2:$F$203,"succeeded",payments!$B$2:$B$203,A19)</f>
        <v>0</v>
      </c>
      <c r="H19" s="4">
        <f>SUMIF(refunds!$G$2:$G$15,A19,refunds!$D$2:$D$15)</f>
        <v>0</v>
      </c>
      <c r="I19" s="4">
        <f>users[[#This Row],[paid_usd]]-users[[#This Row],[refunded_usd]]</f>
        <v>0</v>
      </c>
      <c r="J19" s="4">
        <f>IF(users[[#This Row],[successful_payments_count]]&gt;0,1,0)</f>
        <v>0</v>
      </c>
    </row>
    <row r="20" spans="1:10">
      <c r="A20">
        <v>19</v>
      </c>
      <c r="B20" s="3">
        <v>46025.9855555556</v>
      </c>
      <c r="C20" t="s">
        <v>18</v>
      </c>
      <c r="D20" t="s">
        <v>4</v>
      </c>
      <c r="E20">
        <v>7</v>
      </c>
      <c r="F20" s="4">
        <f>COUNTIFS(payments!$B$2:$B$203,A20,payments!$F$2:$F$203,"succeeded")</f>
        <v>0</v>
      </c>
      <c r="G20" s="4">
        <f>SUMIFS(payments!$G$2:$G$203,payments!$F$2:$F$203,"succeeded",payments!$B$2:$B$203,A20)</f>
        <v>0</v>
      </c>
      <c r="H20" s="4">
        <f>SUMIF(refunds!$G$2:$G$15,A20,refunds!$D$2:$D$15)</f>
        <v>0</v>
      </c>
      <c r="I20" s="4">
        <f>users[[#This Row],[paid_usd]]-users[[#This Row],[refunded_usd]]</f>
        <v>0</v>
      </c>
      <c r="J20" s="4">
        <f>IF(users[[#This Row],[successful_payments_count]]&gt;0,1,0)</f>
        <v>0</v>
      </c>
    </row>
    <row r="21" spans="1:10">
      <c r="A21">
        <v>20</v>
      </c>
      <c r="B21" s="3">
        <v>46050.0206481482</v>
      </c>
      <c r="C21" t="s">
        <v>19</v>
      </c>
      <c r="D21" t="s">
        <v>4</v>
      </c>
      <c r="E21">
        <v>5</v>
      </c>
      <c r="F21" s="4">
        <f>COUNTIFS(payments!$B$2:$B$203,A21,payments!$F$2:$F$203,"succeeded")</f>
        <v>0</v>
      </c>
      <c r="G21" s="4">
        <f>SUMIFS(payments!$G$2:$G$203,payments!$F$2:$F$203,"succeeded",payments!$B$2:$B$203,A21)</f>
        <v>0</v>
      </c>
      <c r="H21" s="4">
        <f>SUMIF(refunds!$G$2:$G$15,A21,refunds!$D$2:$D$15)</f>
        <v>0</v>
      </c>
      <c r="I21" s="4">
        <f>users[[#This Row],[paid_usd]]-users[[#This Row],[refunded_usd]]</f>
        <v>0</v>
      </c>
      <c r="J21" s="4">
        <f>IF(users[[#This Row],[successful_payments_count]]&gt;0,1,0)</f>
        <v>0</v>
      </c>
    </row>
    <row r="22" spans="1:10">
      <c r="A22">
        <v>21</v>
      </c>
      <c r="B22" s="3">
        <v>46180.0003125</v>
      </c>
      <c r="C22" t="s">
        <v>15</v>
      </c>
      <c r="D22" t="s">
        <v>22</v>
      </c>
      <c r="E22">
        <v>6</v>
      </c>
      <c r="F22" s="4">
        <f>COUNTIFS(payments!$B$2:$B$203,A22,payments!$F$2:$F$203,"succeeded")</f>
        <v>0</v>
      </c>
      <c r="G22" s="4">
        <f>SUMIFS(payments!$G$2:$G$203,payments!$F$2:$F$203,"succeeded",payments!$B$2:$B$203,A22)</f>
        <v>0</v>
      </c>
      <c r="H22" s="4">
        <f>SUMIF(refunds!$G$2:$G$15,A22,refunds!$D$2:$D$15)</f>
        <v>0</v>
      </c>
      <c r="I22" s="4">
        <f>users[[#This Row],[paid_usd]]-users[[#This Row],[refunded_usd]]</f>
        <v>0</v>
      </c>
      <c r="J22" s="4">
        <f>IF(users[[#This Row],[successful_payments_count]]&gt;0,1,0)</f>
        <v>0</v>
      </c>
    </row>
    <row r="23" spans="1:10">
      <c r="A23">
        <v>22</v>
      </c>
      <c r="B23" s="3">
        <v>46059.2525347222</v>
      </c>
      <c r="C23" t="s">
        <v>14</v>
      </c>
      <c r="D23" t="s">
        <v>23</v>
      </c>
      <c r="E23">
        <v>4</v>
      </c>
      <c r="F23" s="4">
        <f>COUNTIFS(payments!$B$2:$B$203,A23,payments!$F$2:$F$203,"succeeded")</f>
        <v>0</v>
      </c>
      <c r="G23" s="4">
        <f>SUMIFS(payments!$G$2:$G$203,payments!$F$2:$F$203,"succeeded",payments!$B$2:$B$203,A23)</f>
        <v>0</v>
      </c>
      <c r="H23" s="4">
        <f>SUMIF(refunds!$G$2:$G$15,A23,refunds!$D$2:$D$15)</f>
        <v>0</v>
      </c>
      <c r="I23" s="4">
        <f>users[[#This Row],[paid_usd]]-users[[#This Row],[refunded_usd]]</f>
        <v>0</v>
      </c>
      <c r="J23" s="4">
        <f>IF(users[[#This Row],[successful_payments_count]]&gt;0,1,0)</f>
        <v>0</v>
      </c>
    </row>
    <row r="24" spans="1:10">
      <c r="A24">
        <v>23</v>
      </c>
      <c r="B24" s="3">
        <v>46116.100162037</v>
      </c>
      <c r="C24" t="s">
        <v>19</v>
      </c>
      <c r="D24" t="s">
        <v>4</v>
      </c>
      <c r="E24">
        <v>1</v>
      </c>
      <c r="F24" s="4">
        <f>COUNTIFS(payments!$B$2:$B$203,A24,payments!$F$2:$F$203,"succeeded")</f>
        <v>0</v>
      </c>
      <c r="G24" s="4">
        <f>SUMIFS(payments!$G$2:$G$203,payments!$F$2:$F$203,"succeeded",payments!$B$2:$B$203,A24)</f>
        <v>0</v>
      </c>
      <c r="H24" s="4">
        <f>SUMIF(refunds!$G$2:$G$15,A24,refunds!$D$2:$D$15)</f>
        <v>0</v>
      </c>
      <c r="I24" s="4">
        <f>users[[#This Row],[paid_usd]]-users[[#This Row],[refunded_usd]]</f>
        <v>0</v>
      </c>
      <c r="J24" s="4">
        <f>IF(users[[#This Row],[successful_payments_count]]&gt;0,1,0)</f>
        <v>0</v>
      </c>
    </row>
    <row r="25" spans="1:10">
      <c r="A25">
        <v>24</v>
      </c>
      <c r="B25" s="3">
        <v>46045.7019791667</v>
      </c>
      <c r="C25" t="s">
        <v>18</v>
      </c>
      <c r="D25" t="s">
        <v>4</v>
      </c>
      <c r="E25">
        <v>6</v>
      </c>
      <c r="F25" s="4">
        <f>COUNTIFS(payments!$B$2:$B$203,A25,payments!$F$2:$F$203,"succeeded")</f>
        <v>0</v>
      </c>
      <c r="G25" s="4">
        <f>SUMIFS(payments!$G$2:$G$203,payments!$F$2:$F$203,"succeeded",payments!$B$2:$B$203,A25)</f>
        <v>0</v>
      </c>
      <c r="H25" s="4">
        <f>SUMIF(refunds!$G$2:$G$15,A25,refunds!$D$2:$D$15)</f>
        <v>0</v>
      </c>
      <c r="I25" s="4">
        <f>users[[#This Row],[paid_usd]]-users[[#This Row],[refunded_usd]]</f>
        <v>0</v>
      </c>
      <c r="J25" s="4">
        <f>IF(users[[#This Row],[successful_payments_count]]&gt;0,1,0)</f>
        <v>0</v>
      </c>
    </row>
    <row r="26" spans="1:10">
      <c r="A26">
        <v>25</v>
      </c>
      <c r="B26" s="3">
        <v>46035.442337963</v>
      </c>
      <c r="C26" t="s">
        <v>15</v>
      </c>
      <c r="D26" t="s">
        <v>23</v>
      </c>
      <c r="E26">
        <v>2</v>
      </c>
      <c r="F26" s="4">
        <f>COUNTIFS(payments!$B$2:$B$203,A26,payments!$F$2:$F$203,"succeeded")</f>
        <v>0</v>
      </c>
      <c r="G26" s="4">
        <f>SUMIFS(payments!$G$2:$G$203,payments!$F$2:$F$203,"succeeded",payments!$B$2:$B$203,A26)</f>
        <v>0</v>
      </c>
      <c r="H26" s="4">
        <f>SUMIF(refunds!$G$2:$G$15,A26,refunds!$D$2:$D$15)</f>
        <v>0</v>
      </c>
      <c r="I26" s="4">
        <f>users[[#This Row],[paid_usd]]-users[[#This Row],[refunded_usd]]</f>
        <v>0</v>
      </c>
      <c r="J26" s="4">
        <f>IF(users[[#This Row],[successful_payments_count]]&gt;0,1,0)</f>
        <v>0</v>
      </c>
    </row>
    <row r="27" spans="1:10">
      <c r="A27">
        <v>26</v>
      </c>
      <c r="B27" s="3">
        <v>46132.1036342593</v>
      </c>
      <c r="C27" t="s">
        <v>17</v>
      </c>
      <c r="D27" t="s">
        <v>23</v>
      </c>
      <c r="E27">
        <v>5</v>
      </c>
      <c r="F27" s="4">
        <f>COUNTIFS(payments!$B$2:$B$203,A27,payments!$F$2:$F$203,"succeeded")</f>
        <v>0</v>
      </c>
      <c r="G27" s="4">
        <f>SUMIFS(payments!$G$2:$G$203,payments!$F$2:$F$203,"succeeded",payments!$B$2:$B$203,A27)</f>
        <v>0</v>
      </c>
      <c r="H27" s="4">
        <f>SUMIF(refunds!$G$2:$G$15,A27,refunds!$D$2:$D$15)</f>
        <v>0</v>
      </c>
      <c r="I27" s="4">
        <f>users[[#This Row],[paid_usd]]-users[[#This Row],[refunded_usd]]</f>
        <v>0</v>
      </c>
      <c r="J27" s="4">
        <f>IF(users[[#This Row],[successful_payments_count]]&gt;0,1,0)</f>
        <v>0</v>
      </c>
    </row>
    <row r="28" spans="1:10">
      <c r="A28">
        <v>27</v>
      </c>
      <c r="B28" s="3">
        <v>46090.0012152778</v>
      </c>
      <c r="C28" t="s">
        <v>18</v>
      </c>
      <c r="D28" t="s">
        <v>22</v>
      </c>
      <c r="E28">
        <v>7</v>
      </c>
      <c r="F28" s="4">
        <f>COUNTIFS(payments!$B$2:$B$203,A28,payments!$F$2:$F$203,"succeeded")</f>
        <v>0</v>
      </c>
      <c r="G28" s="4">
        <f>SUMIFS(payments!$G$2:$G$203,payments!$F$2:$F$203,"succeeded",payments!$B$2:$B$203,A28)</f>
        <v>0</v>
      </c>
      <c r="H28" s="4">
        <f>SUMIF(refunds!$G$2:$G$15,A28,refunds!$D$2:$D$15)</f>
        <v>0</v>
      </c>
      <c r="I28" s="4">
        <f>users[[#This Row],[paid_usd]]-users[[#This Row],[refunded_usd]]</f>
        <v>0</v>
      </c>
      <c r="J28" s="4">
        <f>IF(users[[#This Row],[successful_payments_count]]&gt;0,1,0)</f>
        <v>0</v>
      </c>
    </row>
    <row r="29" spans="1:10">
      <c r="A29">
        <v>28</v>
      </c>
      <c r="B29" s="3">
        <v>46163.8141666667</v>
      </c>
      <c r="C29" t="s">
        <v>18</v>
      </c>
      <c r="D29" t="s">
        <v>23</v>
      </c>
      <c r="E29">
        <v>2</v>
      </c>
      <c r="F29" s="4">
        <f>COUNTIFS(payments!$B$2:$B$203,A29,payments!$F$2:$F$203,"succeeded")</f>
        <v>0</v>
      </c>
      <c r="G29" s="4">
        <f>SUMIFS(payments!$G$2:$G$203,payments!$F$2:$F$203,"succeeded",payments!$B$2:$B$203,A29)</f>
        <v>0</v>
      </c>
      <c r="H29" s="4">
        <f>SUMIF(refunds!$G$2:$G$15,A29,refunds!$D$2:$D$15)</f>
        <v>0</v>
      </c>
      <c r="I29" s="4">
        <f>users[[#This Row],[paid_usd]]-users[[#This Row],[refunded_usd]]</f>
        <v>0</v>
      </c>
      <c r="J29" s="4">
        <f>IF(users[[#This Row],[successful_payments_count]]&gt;0,1,0)</f>
        <v>0</v>
      </c>
    </row>
    <row r="30" spans="1:10">
      <c r="A30">
        <v>29</v>
      </c>
      <c r="B30" s="3">
        <v>46137.382337963</v>
      </c>
      <c r="C30" t="s">
        <v>19</v>
      </c>
      <c r="D30" t="s">
        <v>22</v>
      </c>
      <c r="E30">
        <v>2</v>
      </c>
      <c r="F30" s="4">
        <f>COUNTIFS(payments!$B$2:$B$203,A30,payments!$F$2:$F$203,"succeeded")</f>
        <v>0</v>
      </c>
      <c r="G30" s="4">
        <f>SUMIFS(payments!$G$2:$G$203,payments!$F$2:$F$203,"succeeded",payments!$B$2:$B$203,A30)</f>
        <v>0</v>
      </c>
      <c r="H30" s="4">
        <f>SUMIF(refunds!$G$2:$G$15,A30,refunds!$D$2:$D$15)</f>
        <v>0</v>
      </c>
      <c r="I30" s="4">
        <f>users[[#This Row],[paid_usd]]-users[[#This Row],[refunded_usd]]</f>
        <v>0</v>
      </c>
      <c r="J30" s="4">
        <f>IF(users[[#This Row],[successful_payments_count]]&gt;0,1,0)</f>
        <v>0</v>
      </c>
    </row>
    <row r="31" spans="1:10">
      <c r="A31">
        <v>30</v>
      </c>
      <c r="B31" s="3">
        <v>46093.7768518518</v>
      </c>
      <c r="C31" t="s">
        <v>15</v>
      </c>
      <c r="D31" t="s">
        <v>23</v>
      </c>
      <c r="E31">
        <v>3</v>
      </c>
      <c r="F31" s="4">
        <f>COUNTIFS(payments!$B$2:$B$203,A31,payments!$F$2:$F$203,"succeeded")</f>
        <v>0</v>
      </c>
      <c r="G31" s="4">
        <f>SUMIFS(payments!$G$2:$G$203,payments!$F$2:$F$203,"succeeded",payments!$B$2:$B$203,A31)</f>
        <v>0</v>
      </c>
      <c r="H31" s="4">
        <f>SUMIF(refunds!$G$2:$G$15,A31,refunds!$D$2:$D$15)</f>
        <v>0</v>
      </c>
      <c r="I31" s="4">
        <f>users[[#This Row],[paid_usd]]-users[[#This Row],[refunded_usd]]</f>
        <v>0</v>
      </c>
      <c r="J31" s="4">
        <f>IF(users[[#This Row],[successful_payments_count]]&gt;0,1,0)</f>
        <v>0</v>
      </c>
    </row>
    <row r="32" spans="1:10">
      <c r="A32">
        <v>31</v>
      </c>
      <c r="B32" s="3">
        <v>46042.7387037037</v>
      </c>
      <c r="C32" t="s">
        <v>18</v>
      </c>
      <c r="D32" t="s">
        <v>22</v>
      </c>
      <c r="F32" s="4">
        <f>COUNTIFS(payments!$B$2:$B$203,A32,payments!$F$2:$F$203,"succeeded")</f>
        <v>0</v>
      </c>
      <c r="G32" s="4">
        <f>SUMIFS(payments!$G$2:$G$203,payments!$F$2:$F$203,"succeeded",payments!$B$2:$B$203,A32)</f>
        <v>0</v>
      </c>
      <c r="H32" s="4">
        <f>SUMIF(refunds!$G$2:$G$15,A32,refunds!$D$2:$D$15)</f>
        <v>0</v>
      </c>
      <c r="I32" s="4">
        <f>users[[#This Row],[paid_usd]]-users[[#This Row],[refunded_usd]]</f>
        <v>0</v>
      </c>
      <c r="J32" s="4">
        <f>IF(users[[#This Row],[successful_payments_count]]&gt;0,1,0)</f>
        <v>0</v>
      </c>
    </row>
    <row r="33" spans="1:10">
      <c r="A33">
        <v>32</v>
      </c>
      <c r="B33" s="3">
        <v>46124.4512962963</v>
      </c>
      <c r="C33" t="s">
        <v>16</v>
      </c>
      <c r="D33" t="s">
        <v>22</v>
      </c>
      <c r="E33">
        <v>3</v>
      </c>
      <c r="F33" s="4">
        <f>COUNTIFS(payments!$B$2:$B$203,A33,payments!$F$2:$F$203,"succeeded")</f>
        <v>0</v>
      </c>
      <c r="G33" s="4">
        <f>SUMIFS(payments!$G$2:$G$203,payments!$F$2:$F$203,"succeeded",payments!$B$2:$B$203,A33)</f>
        <v>0</v>
      </c>
      <c r="H33" s="4">
        <f>SUMIF(refunds!$G$2:$G$15,A33,refunds!$D$2:$D$15)</f>
        <v>0</v>
      </c>
      <c r="I33" s="4">
        <f>users[[#This Row],[paid_usd]]-users[[#This Row],[refunded_usd]]</f>
        <v>0</v>
      </c>
      <c r="J33" s="4">
        <f>IF(users[[#This Row],[successful_payments_count]]&gt;0,1,0)</f>
        <v>0</v>
      </c>
    </row>
    <row r="34" spans="1:10">
      <c r="A34">
        <v>33</v>
      </c>
      <c r="B34" s="3">
        <v>46176.9612268519</v>
      </c>
      <c r="C34" t="s">
        <v>18</v>
      </c>
      <c r="D34" t="s">
        <v>23</v>
      </c>
      <c r="F34" s="4">
        <f>COUNTIFS(payments!$B$2:$B$203,A34,payments!$F$2:$F$203,"succeeded")</f>
        <v>0</v>
      </c>
      <c r="G34" s="4">
        <f>SUMIFS(payments!$G$2:$G$203,payments!$F$2:$F$203,"succeeded",payments!$B$2:$B$203,A34)</f>
        <v>0</v>
      </c>
      <c r="H34" s="4">
        <f>SUMIF(refunds!$G$2:$G$15,A34,refunds!$D$2:$D$15)</f>
        <v>0</v>
      </c>
      <c r="I34" s="4">
        <f>users[[#This Row],[paid_usd]]-users[[#This Row],[refunded_usd]]</f>
        <v>0</v>
      </c>
      <c r="J34" s="4">
        <f>IF(users[[#This Row],[successful_payments_count]]&gt;0,1,0)</f>
        <v>0</v>
      </c>
    </row>
    <row r="35" spans="1:10">
      <c r="A35">
        <v>34</v>
      </c>
      <c r="B35" s="3">
        <v>46143.0746296296</v>
      </c>
      <c r="C35" t="s">
        <v>17</v>
      </c>
      <c r="D35" t="s">
        <v>4</v>
      </c>
      <c r="E35">
        <v>6</v>
      </c>
      <c r="F35" s="4">
        <f>COUNTIFS(payments!$B$2:$B$203,A35,payments!$F$2:$F$203,"succeeded")</f>
        <v>0</v>
      </c>
      <c r="G35" s="4">
        <f>SUMIFS(payments!$G$2:$G$203,payments!$F$2:$F$203,"succeeded",payments!$B$2:$B$203,A35)</f>
        <v>0</v>
      </c>
      <c r="H35" s="4">
        <f>SUMIF(refunds!$G$2:$G$15,A35,refunds!$D$2:$D$15)</f>
        <v>0</v>
      </c>
      <c r="I35" s="4">
        <f>users[[#This Row],[paid_usd]]-users[[#This Row],[refunded_usd]]</f>
        <v>0</v>
      </c>
      <c r="J35" s="4">
        <f>IF(users[[#This Row],[successful_payments_count]]&gt;0,1,0)</f>
        <v>0</v>
      </c>
    </row>
    <row r="36" spans="1:10">
      <c r="A36">
        <v>35</v>
      </c>
      <c r="B36" s="3">
        <v>46055.6731481481</v>
      </c>
      <c r="C36" t="s">
        <v>18</v>
      </c>
      <c r="D36" t="s">
        <v>22</v>
      </c>
      <c r="E36">
        <v>6</v>
      </c>
      <c r="F36" s="4">
        <f>COUNTIFS(payments!$B$2:$B$203,A36,payments!$F$2:$F$203,"succeeded")</f>
        <v>0</v>
      </c>
      <c r="G36" s="4">
        <f>SUMIFS(payments!$G$2:$G$203,payments!$F$2:$F$203,"succeeded",payments!$B$2:$B$203,A36)</f>
        <v>0</v>
      </c>
      <c r="H36" s="4">
        <f>SUMIF(refunds!$G$2:$G$15,A36,refunds!$D$2:$D$15)</f>
        <v>0</v>
      </c>
      <c r="I36" s="4">
        <f>users[[#This Row],[paid_usd]]-users[[#This Row],[refunded_usd]]</f>
        <v>0</v>
      </c>
      <c r="J36" s="4">
        <f>IF(users[[#This Row],[successful_payments_count]]&gt;0,1,0)</f>
        <v>0</v>
      </c>
    </row>
    <row r="37" spans="1:10">
      <c r="A37">
        <v>36</v>
      </c>
      <c r="B37" s="3">
        <v>46146.9916319444</v>
      </c>
      <c r="C37" t="s">
        <v>19</v>
      </c>
      <c r="D37" t="s">
        <v>4</v>
      </c>
      <c r="E37">
        <v>1</v>
      </c>
      <c r="F37" s="4">
        <f>COUNTIFS(payments!$B$2:$B$203,A37,payments!$F$2:$F$203,"succeeded")</f>
        <v>1</v>
      </c>
      <c r="G37" s="4">
        <f>SUMIFS(payments!$G$2:$G$203,payments!$F$2:$F$203,"succeeded",payments!$B$2:$B$203,A37)</f>
        <v>7.99</v>
      </c>
      <c r="H37" s="4">
        <f>SUMIF(refunds!$G$2:$G$15,A37,refunds!$D$2:$D$15)</f>
        <v>0</v>
      </c>
      <c r="I37" s="4">
        <f>users[[#This Row],[paid_usd]]-users[[#This Row],[refunded_usd]]</f>
        <v>7.99</v>
      </c>
      <c r="J37" s="4">
        <f>IF(users[[#This Row],[successful_payments_count]]&gt;0,1,0)</f>
        <v>1</v>
      </c>
    </row>
    <row r="38" spans="1:10">
      <c r="A38">
        <v>37</v>
      </c>
      <c r="B38" s="3">
        <v>46180.4471180556</v>
      </c>
      <c r="C38" t="s">
        <v>16</v>
      </c>
      <c r="D38" t="s">
        <v>23</v>
      </c>
      <c r="E38">
        <v>6</v>
      </c>
      <c r="F38" s="4">
        <f>COUNTIFS(payments!$B$2:$B$203,A38,payments!$F$2:$F$203,"succeeded")</f>
        <v>0</v>
      </c>
      <c r="G38" s="4">
        <f>SUMIFS(payments!$G$2:$G$203,payments!$F$2:$F$203,"succeeded",payments!$B$2:$B$203,A38)</f>
        <v>0</v>
      </c>
      <c r="H38" s="4">
        <f>SUMIF(refunds!$G$2:$G$15,A38,refunds!$D$2:$D$15)</f>
        <v>0</v>
      </c>
      <c r="I38" s="4">
        <f>users[[#This Row],[paid_usd]]-users[[#This Row],[refunded_usd]]</f>
        <v>0</v>
      </c>
      <c r="J38" s="4">
        <f>IF(users[[#This Row],[successful_payments_count]]&gt;0,1,0)</f>
        <v>0</v>
      </c>
    </row>
    <row r="39" spans="1:10">
      <c r="A39">
        <v>38</v>
      </c>
      <c r="B39" s="3">
        <v>46140.2113888889</v>
      </c>
      <c r="C39" t="s">
        <v>18</v>
      </c>
      <c r="D39" t="s">
        <v>23</v>
      </c>
      <c r="E39">
        <v>3</v>
      </c>
      <c r="F39" s="4">
        <f>COUNTIFS(payments!$B$2:$B$203,A39,payments!$F$2:$F$203,"succeeded")</f>
        <v>0</v>
      </c>
      <c r="G39" s="4">
        <f>SUMIFS(payments!$G$2:$G$203,payments!$F$2:$F$203,"succeeded",payments!$B$2:$B$203,A39)</f>
        <v>0</v>
      </c>
      <c r="H39" s="4">
        <f>SUMIF(refunds!$G$2:$G$15,A39,refunds!$D$2:$D$15)</f>
        <v>0</v>
      </c>
      <c r="I39" s="4">
        <f>users[[#This Row],[paid_usd]]-users[[#This Row],[refunded_usd]]</f>
        <v>0</v>
      </c>
      <c r="J39" s="4">
        <f>IF(users[[#This Row],[successful_payments_count]]&gt;0,1,0)</f>
        <v>0</v>
      </c>
    </row>
    <row r="40" spans="1:10">
      <c r="A40">
        <v>39</v>
      </c>
      <c r="B40" s="3">
        <v>46067.4374884259</v>
      </c>
      <c r="C40" t="s">
        <v>19</v>
      </c>
      <c r="D40" t="s">
        <v>4</v>
      </c>
      <c r="E40">
        <v>6</v>
      </c>
      <c r="F40" s="4">
        <f>COUNTIFS(payments!$B$2:$B$203,A40,payments!$F$2:$F$203,"succeeded")</f>
        <v>0</v>
      </c>
      <c r="G40" s="4">
        <f>SUMIFS(payments!$G$2:$G$203,payments!$F$2:$F$203,"succeeded",payments!$B$2:$B$203,A40)</f>
        <v>0</v>
      </c>
      <c r="H40" s="4">
        <f>SUMIF(refunds!$G$2:$G$15,A40,refunds!$D$2:$D$15)</f>
        <v>0</v>
      </c>
      <c r="I40" s="4">
        <f>users[[#This Row],[paid_usd]]-users[[#This Row],[refunded_usd]]</f>
        <v>0</v>
      </c>
      <c r="J40" s="4">
        <f>IF(users[[#This Row],[successful_payments_count]]&gt;0,1,0)</f>
        <v>0</v>
      </c>
    </row>
    <row r="41" spans="1:10">
      <c r="A41">
        <v>40</v>
      </c>
      <c r="B41" s="3">
        <v>46164.7835532407</v>
      </c>
      <c r="C41" t="s">
        <v>16</v>
      </c>
      <c r="D41" t="s">
        <v>23</v>
      </c>
      <c r="E41">
        <v>1</v>
      </c>
      <c r="F41" s="4">
        <f>COUNTIFS(payments!$B$2:$B$203,A41,payments!$F$2:$F$203,"succeeded")</f>
        <v>1</v>
      </c>
      <c r="G41" s="4">
        <f>SUMIFS(payments!$G$2:$G$203,payments!$F$2:$F$203,"succeeded",payments!$B$2:$B$203,A41)</f>
        <v>19.99</v>
      </c>
      <c r="H41" s="4">
        <f>SUMIF(refunds!$G$2:$G$15,A41,refunds!$D$2:$D$15)</f>
        <v>0</v>
      </c>
      <c r="I41" s="4">
        <f>users[[#This Row],[paid_usd]]-users[[#This Row],[refunded_usd]]</f>
        <v>19.99</v>
      </c>
      <c r="J41" s="4">
        <f>IF(users[[#This Row],[successful_payments_count]]&gt;0,1,0)</f>
        <v>1</v>
      </c>
    </row>
    <row r="42" spans="1:10">
      <c r="A42">
        <v>41</v>
      </c>
      <c r="B42" s="3">
        <v>46183.1729282407</v>
      </c>
      <c r="C42" t="s">
        <v>15</v>
      </c>
      <c r="D42" t="s">
        <v>23</v>
      </c>
      <c r="E42">
        <v>1</v>
      </c>
      <c r="F42" s="4">
        <f>COUNTIFS(payments!$B$2:$B$203,A42,payments!$F$2:$F$203,"succeeded")</f>
        <v>1</v>
      </c>
      <c r="G42" s="4">
        <f>SUMIFS(payments!$G$2:$G$203,payments!$F$2:$F$203,"succeeded",payments!$B$2:$B$203,A42)</f>
        <v>19.99</v>
      </c>
      <c r="H42" s="4">
        <f>SUMIF(refunds!$G$2:$G$15,A42,refunds!$D$2:$D$15)</f>
        <v>0</v>
      </c>
      <c r="I42" s="4">
        <f>users[[#This Row],[paid_usd]]-users[[#This Row],[refunded_usd]]</f>
        <v>19.99</v>
      </c>
      <c r="J42" s="4">
        <f>IF(users[[#This Row],[successful_payments_count]]&gt;0,1,0)</f>
        <v>1</v>
      </c>
    </row>
    <row r="43" spans="1:10">
      <c r="A43">
        <v>42</v>
      </c>
      <c r="B43" s="3">
        <v>46101.4175810185</v>
      </c>
      <c r="C43" t="s">
        <v>15</v>
      </c>
      <c r="D43" t="s">
        <v>23</v>
      </c>
      <c r="E43">
        <v>1</v>
      </c>
      <c r="F43" s="4">
        <f>COUNTIFS(payments!$B$2:$B$203,A43,payments!$F$2:$F$203,"succeeded")</f>
        <v>1</v>
      </c>
      <c r="G43" s="4">
        <f>SUMIFS(payments!$G$2:$G$203,payments!$F$2:$F$203,"succeeded",payments!$B$2:$B$203,A43)</f>
        <v>19.99</v>
      </c>
      <c r="H43" s="4">
        <f>SUMIF(refunds!$G$2:$G$15,A43,refunds!$D$2:$D$15)</f>
        <v>0</v>
      </c>
      <c r="I43" s="4">
        <f>users[[#This Row],[paid_usd]]-users[[#This Row],[refunded_usd]]</f>
        <v>19.99</v>
      </c>
      <c r="J43" s="4">
        <f>IF(users[[#This Row],[successful_payments_count]]&gt;0,1,0)</f>
        <v>1</v>
      </c>
    </row>
    <row r="44" spans="1:10">
      <c r="A44">
        <v>43</v>
      </c>
      <c r="B44" s="3">
        <v>46123.9805555556</v>
      </c>
      <c r="C44" t="s">
        <v>19</v>
      </c>
      <c r="D44" t="s">
        <v>4</v>
      </c>
      <c r="E44">
        <v>5</v>
      </c>
      <c r="F44" s="4">
        <f>COUNTIFS(payments!$B$2:$B$203,A44,payments!$F$2:$F$203,"succeeded")</f>
        <v>0</v>
      </c>
      <c r="G44" s="4">
        <f>SUMIFS(payments!$G$2:$G$203,payments!$F$2:$F$203,"succeeded",payments!$B$2:$B$203,A44)</f>
        <v>0</v>
      </c>
      <c r="H44" s="4">
        <f>SUMIF(refunds!$G$2:$G$15,A44,refunds!$D$2:$D$15)</f>
        <v>0</v>
      </c>
      <c r="I44" s="4">
        <f>users[[#This Row],[paid_usd]]-users[[#This Row],[refunded_usd]]</f>
        <v>0</v>
      </c>
      <c r="J44" s="4">
        <f>IF(users[[#This Row],[successful_payments_count]]&gt;0,1,0)</f>
        <v>0</v>
      </c>
    </row>
    <row r="45" spans="1:10">
      <c r="A45">
        <v>44</v>
      </c>
      <c r="B45" s="3">
        <v>46133.1209606481</v>
      </c>
      <c r="C45" t="s">
        <v>16</v>
      </c>
      <c r="D45" t="s">
        <v>23</v>
      </c>
      <c r="E45">
        <v>5</v>
      </c>
      <c r="F45" s="4">
        <f>COUNTIFS(payments!$B$2:$B$203,A45,payments!$F$2:$F$203,"succeeded")</f>
        <v>0</v>
      </c>
      <c r="G45" s="4">
        <f>SUMIFS(payments!$G$2:$G$203,payments!$F$2:$F$203,"succeeded",payments!$B$2:$B$203,A45)</f>
        <v>0</v>
      </c>
      <c r="H45" s="4">
        <f>SUMIF(refunds!$G$2:$G$15,A45,refunds!$D$2:$D$15)</f>
        <v>0</v>
      </c>
      <c r="I45" s="4">
        <f>users[[#This Row],[paid_usd]]-users[[#This Row],[refunded_usd]]</f>
        <v>0</v>
      </c>
      <c r="J45" s="4">
        <f>IF(users[[#This Row],[successful_payments_count]]&gt;0,1,0)</f>
        <v>0</v>
      </c>
    </row>
    <row r="46" spans="1:10">
      <c r="A46">
        <v>45</v>
      </c>
      <c r="B46" s="3">
        <v>46034.7742476852</v>
      </c>
      <c r="C46" t="s">
        <v>15</v>
      </c>
      <c r="D46" t="s">
        <v>4</v>
      </c>
      <c r="E46">
        <v>1</v>
      </c>
      <c r="F46" s="4">
        <f>COUNTIFS(payments!$B$2:$B$203,A46,payments!$F$2:$F$203,"succeeded")</f>
        <v>0</v>
      </c>
      <c r="G46" s="4">
        <f>SUMIFS(payments!$G$2:$G$203,payments!$F$2:$F$203,"succeeded",payments!$B$2:$B$203,A46)</f>
        <v>0</v>
      </c>
      <c r="H46" s="4">
        <f>SUMIF(refunds!$G$2:$G$15,A46,refunds!$D$2:$D$15)</f>
        <v>0</v>
      </c>
      <c r="I46" s="4">
        <f>users[[#This Row],[paid_usd]]-users[[#This Row],[refunded_usd]]</f>
        <v>0</v>
      </c>
      <c r="J46" s="4">
        <f>IF(users[[#This Row],[successful_payments_count]]&gt;0,1,0)</f>
        <v>0</v>
      </c>
    </row>
    <row r="47" spans="1:10">
      <c r="A47">
        <v>46</v>
      </c>
      <c r="B47" s="3">
        <v>46092.72375</v>
      </c>
      <c r="C47" t="s">
        <v>16</v>
      </c>
      <c r="D47" t="s">
        <v>23</v>
      </c>
      <c r="E47">
        <v>3</v>
      </c>
      <c r="F47" s="4">
        <f>COUNTIFS(payments!$B$2:$B$203,A47,payments!$F$2:$F$203,"succeeded")</f>
        <v>0</v>
      </c>
      <c r="G47" s="4">
        <f>SUMIFS(payments!$G$2:$G$203,payments!$F$2:$F$203,"succeeded",payments!$B$2:$B$203,A47)</f>
        <v>0</v>
      </c>
      <c r="H47" s="4">
        <f>SUMIF(refunds!$G$2:$G$15,A47,refunds!$D$2:$D$15)</f>
        <v>0</v>
      </c>
      <c r="I47" s="4">
        <f>users[[#This Row],[paid_usd]]-users[[#This Row],[refunded_usd]]</f>
        <v>0</v>
      </c>
      <c r="J47" s="4">
        <f>IF(users[[#This Row],[successful_payments_count]]&gt;0,1,0)</f>
        <v>0</v>
      </c>
    </row>
    <row r="48" spans="1:10">
      <c r="A48">
        <v>47</v>
      </c>
      <c r="B48" s="3">
        <v>46171.0588194444</v>
      </c>
      <c r="C48" t="s">
        <v>17</v>
      </c>
      <c r="D48" t="s">
        <v>22</v>
      </c>
      <c r="E48">
        <v>1</v>
      </c>
      <c r="F48" s="4">
        <f>COUNTIFS(payments!$B$2:$B$203,A48,payments!$F$2:$F$203,"succeeded")</f>
        <v>0</v>
      </c>
      <c r="G48" s="4">
        <f>SUMIFS(payments!$G$2:$G$203,payments!$F$2:$F$203,"succeeded",payments!$B$2:$B$203,A48)</f>
        <v>0</v>
      </c>
      <c r="H48" s="4">
        <f>SUMIF(refunds!$G$2:$G$15,A48,refunds!$D$2:$D$15)</f>
        <v>0</v>
      </c>
      <c r="I48" s="4">
        <f>users[[#This Row],[paid_usd]]-users[[#This Row],[refunded_usd]]</f>
        <v>0</v>
      </c>
      <c r="J48" s="4">
        <f>IF(users[[#This Row],[successful_payments_count]]&gt;0,1,0)</f>
        <v>0</v>
      </c>
    </row>
    <row r="49" spans="1:10">
      <c r="A49">
        <v>48</v>
      </c>
      <c r="B49" s="3">
        <v>46161.5521759259</v>
      </c>
      <c r="C49" t="s">
        <v>15</v>
      </c>
      <c r="D49" t="s">
        <v>23</v>
      </c>
      <c r="E49">
        <v>5</v>
      </c>
      <c r="F49" s="4">
        <f>COUNTIFS(payments!$B$2:$B$203,A49,payments!$F$2:$F$203,"succeeded")</f>
        <v>0</v>
      </c>
      <c r="G49" s="4">
        <f>SUMIFS(payments!$G$2:$G$203,payments!$F$2:$F$203,"succeeded",payments!$B$2:$B$203,A49)</f>
        <v>0</v>
      </c>
      <c r="H49" s="4">
        <f>SUMIF(refunds!$G$2:$G$15,A49,refunds!$D$2:$D$15)</f>
        <v>0</v>
      </c>
      <c r="I49" s="4">
        <f>users[[#This Row],[paid_usd]]-users[[#This Row],[refunded_usd]]</f>
        <v>0</v>
      </c>
      <c r="J49" s="4">
        <f>IF(users[[#This Row],[successful_payments_count]]&gt;0,1,0)</f>
        <v>0</v>
      </c>
    </row>
    <row r="50" spans="1:10">
      <c r="A50">
        <v>49</v>
      </c>
      <c r="B50" s="3">
        <v>46043.7542361111</v>
      </c>
      <c r="C50" t="s">
        <v>17</v>
      </c>
      <c r="D50" t="s">
        <v>4</v>
      </c>
      <c r="E50">
        <v>4</v>
      </c>
      <c r="F50" s="4">
        <f>COUNTIFS(payments!$B$2:$B$203,A50,payments!$F$2:$F$203,"succeeded")</f>
        <v>2</v>
      </c>
      <c r="G50" s="4">
        <f>SUMIFS(payments!$G$2:$G$203,payments!$F$2:$F$203,"succeeded",payments!$B$2:$B$203,A50)</f>
        <v>14.98</v>
      </c>
      <c r="H50" s="4">
        <f>SUMIF(refunds!$G$2:$G$15,A50,refunds!$D$2:$D$15)</f>
        <v>9.99</v>
      </c>
      <c r="I50" s="4">
        <f>users[[#This Row],[paid_usd]]-users[[#This Row],[refunded_usd]]</f>
        <v>4.99</v>
      </c>
      <c r="J50" s="4">
        <f>IF(users[[#This Row],[successful_payments_count]]&gt;0,1,0)</f>
        <v>1</v>
      </c>
    </row>
    <row r="51" spans="1:10">
      <c r="A51">
        <v>50</v>
      </c>
      <c r="B51" s="3">
        <v>46169.7605555556</v>
      </c>
      <c r="C51" t="s">
        <v>18</v>
      </c>
      <c r="D51" t="s">
        <v>22</v>
      </c>
      <c r="E51">
        <v>3</v>
      </c>
      <c r="F51" s="4">
        <f>COUNTIFS(payments!$B$2:$B$203,A51,payments!$F$2:$F$203,"succeeded")</f>
        <v>0</v>
      </c>
      <c r="G51" s="4">
        <f>SUMIFS(payments!$G$2:$G$203,payments!$F$2:$F$203,"succeeded",payments!$B$2:$B$203,A51)</f>
        <v>0</v>
      </c>
      <c r="H51" s="4">
        <f>SUMIF(refunds!$G$2:$G$15,A51,refunds!$D$2:$D$15)</f>
        <v>0</v>
      </c>
      <c r="I51" s="4">
        <f>users[[#This Row],[paid_usd]]-users[[#This Row],[refunded_usd]]</f>
        <v>0</v>
      </c>
      <c r="J51" s="4">
        <f>IF(users[[#This Row],[successful_payments_count]]&gt;0,1,0)</f>
        <v>0</v>
      </c>
    </row>
    <row r="52" spans="1:10">
      <c r="A52">
        <v>51</v>
      </c>
      <c r="B52" s="3">
        <v>46076.0191319444</v>
      </c>
      <c r="C52" t="s">
        <v>15</v>
      </c>
      <c r="D52" t="s">
        <v>4</v>
      </c>
      <c r="E52">
        <v>5</v>
      </c>
      <c r="F52" s="4">
        <f>COUNTIFS(payments!$B$2:$B$203,A52,payments!$F$2:$F$203,"succeeded")</f>
        <v>0</v>
      </c>
      <c r="G52" s="4">
        <f>SUMIFS(payments!$G$2:$G$203,payments!$F$2:$F$203,"succeeded",payments!$B$2:$B$203,A52)</f>
        <v>0</v>
      </c>
      <c r="H52" s="4">
        <f>SUMIF(refunds!$G$2:$G$15,A52,refunds!$D$2:$D$15)</f>
        <v>0</v>
      </c>
      <c r="I52" s="4">
        <f>users[[#This Row],[paid_usd]]-users[[#This Row],[refunded_usd]]</f>
        <v>0</v>
      </c>
      <c r="J52" s="4">
        <f>IF(users[[#This Row],[successful_payments_count]]&gt;0,1,0)</f>
        <v>0</v>
      </c>
    </row>
    <row r="53" spans="1:10">
      <c r="A53">
        <v>52</v>
      </c>
      <c r="B53" s="3">
        <v>46041.8408217593</v>
      </c>
      <c r="C53" t="s">
        <v>19</v>
      </c>
      <c r="D53" t="s">
        <v>23</v>
      </c>
      <c r="E53">
        <v>6</v>
      </c>
      <c r="F53" s="4">
        <f>COUNTIFS(payments!$B$2:$B$203,A53,payments!$F$2:$F$203,"succeeded")</f>
        <v>0</v>
      </c>
      <c r="G53" s="4">
        <f>SUMIFS(payments!$G$2:$G$203,payments!$F$2:$F$203,"succeeded",payments!$B$2:$B$203,A53)</f>
        <v>0</v>
      </c>
      <c r="H53" s="4">
        <f>SUMIF(refunds!$G$2:$G$15,A53,refunds!$D$2:$D$15)</f>
        <v>0</v>
      </c>
      <c r="I53" s="4">
        <f>users[[#This Row],[paid_usd]]-users[[#This Row],[refunded_usd]]</f>
        <v>0</v>
      </c>
      <c r="J53" s="4">
        <f>IF(users[[#This Row],[successful_payments_count]]&gt;0,1,0)</f>
        <v>0</v>
      </c>
    </row>
    <row r="54" spans="1:10">
      <c r="A54">
        <v>53</v>
      </c>
      <c r="B54" s="3">
        <v>46103.2735648148</v>
      </c>
      <c r="C54" t="s">
        <v>19</v>
      </c>
      <c r="D54" t="s">
        <v>22</v>
      </c>
      <c r="E54">
        <v>7</v>
      </c>
      <c r="F54" s="4">
        <f>COUNTIFS(payments!$B$2:$B$203,A54,payments!$F$2:$F$203,"succeeded")</f>
        <v>0</v>
      </c>
      <c r="G54" s="4">
        <f>SUMIFS(payments!$G$2:$G$203,payments!$F$2:$F$203,"succeeded",payments!$B$2:$B$203,A54)</f>
        <v>0</v>
      </c>
      <c r="H54" s="4">
        <f>SUMIF(refunds!$G$2:$G$15,A54,refunds!$D$2:$D$15)</f>
        <v>0</v>
      </c>
      <c r="I54" s="4">
        <f>users[[#This Row],[paid_usd]]-users[[#This Row],[refunded_usd]]</f>
        <v>0</v>
      </c>
      <c r="J54" s="4">
        <f>IF(users[[#This Row],[successful_payments_count]]&gt;0,1,0)</f>
        <v>0</v>
      </c>
    </row>
    <row r="55" spans="1:10">
      <c r="A55">
        <v>54</v>
      </c>
      <c r="B55" s="3">
        <v>46139.2819791667</v>
      </c>
      <c r="C55" t="s">
        <v>15</v>
      </c>
      <c r="D55" t="s">
        <v>4</v>
      </c>
      <c r="E55">
        <v>1</v>
      </c>
      <c r="F55" s="4">
        <f>COUNTIFS(payments!$B$2:$B$203,A55,payments!$F$2:$F$203,"succeeded")</f>
        <v>0</v>
      </c>
      <c r="G55" s="4">
        <f>SUMIFS(payments!$G$2:$G$203,payments!$F$2:$F$203,"succeeded",payments!$B$2:$B$203,A55)</f>
        <v>0</v>
      </c>
      <c r="H55" s="4">
        <f>SUMIF(refunds!$G$2:$G$15,A55,refunds!$D$2:$D$15)</f>
        <v>0</v>
      </c>
      <c r="I55" s="4">
        <f>users[[#This Row],[paid_usd]]-users[[#This Row],[refunded_usd]]</f>
        <v>0</v>
      </c>
      <c r="J55" s="4">
        <f>IF(users[[#This Row],[successful_payments_count]]&gt;0,1,0)</f>
        <v>0</v>
      </c>
    </row>
    <row r="56" spans="1:10">
      <c r="A56">
        <v>55</v>
      </c>
      <c r="B56" s="3">
        <v>46087.7484143519</v>
      </c>
      <c r="C56" t="s">
        <v>15</v>
      </c>
      <c r="D56" t="s">
        <v>4</v>
      </c>
      <c r="F56" s="4">
        <f>COUNTIFS(payments!$B$2:$B$203,A56,payments!$F$2:$F$203,"succeeded")</f>
        <v>0</v>
      </c>
      <c r="G56" s="4">
        <f>SUMIFS(payments!$G$2:$G$203,payments!$F$2:$F$203,"succeeded",payments!$B$2:$B$203,A56)</f>
        <v>0</v>
      </c>
      <c r="H56" s="4">
        <f>SUMIF(refunds!$G$2:$G$15,A56,refunds!$D$2:$D$15)</f>
        <v>0</v>
      </c>
      <c r="I56" s="4">
        <f>users[[#This Row],[paid_usd]]-users[[#This Row],[refunded_usd]]</f>
        <v>0</v>
      </c>
      <c r="J56" s="4">
        <f>IF(users[[#This Row],[successful_payments_count]]&gt;0,1,0)</f>
        <v>0</v>
      </c>
    </row>
    <row r="57" spans="1:10">
      <c r="A57">
        <v>56</v>
      </c>
      <c r="B57" s="3">
        <v>46053.9075347222</v>
      </c>
      <c r="C57" t="s">
        <v>19</v>
      </c>
      <c r="D57" t="s">
        <v>22</v>
      </c>
      <c r="E57">
        <v>6</v>
      </c>
      <c r="F57" s="4">
        <f>COUNTIFS(payments!$B$2:$B$203,A57,payments!$F$2:$F$203,"succeeded")</f>
        <v>1</v>
      </c>
      <c r="G57" s="4">
        <f>SUMIFS(payments!$G$2:$G$203,payments!$F$2:$F$203,"succeeded",payments!$B$2:$B$203,A57)</f>
        <v>4.99</v>
      </c>
      <c r="H57" s="4">
        <f>SUMIF(refunds!$G$2:$G$15,A57,refunds!$D$2:$D$15)</f>
        <v>0</v>
      </c>
      <c r="I57" s="4">
        <f>users[[#This Row],[paid_usd]]-users[[#This Row],[refunded_usd]]</f>
        <v>4.99</v>
      </c>
      <c r="J57" s="4">
        <f>IF(users[[#This Row],[successful_payments_count]]&gt;0,1,0)</f>
        <v>1</v>
      </c>
    </row>
    <row r="58" spans="1:10">
      <c r="A58">
        <v>57</v>
      </c>
      <c r="B58" s="3">
        <v>46118.3064351852</v>
      </c>
      <c r="C58" t="s">
        <v>15</v>
      </c>
      <c r="D58" t="s">
        <v>23</v>
      </c>
      <c r="F58" s="4">
        <f>COUNTIFS(payments!$B$2:$B$203,A58,payments!$F$2:$F$203,"succeeded")</f>
        <v>1</v>
      </c>
      <c r="G58" s="4">
        <f>SUMIFS(payments!$G$2:$G$203,payments!$F$2:$F$203,"succeeded",payments!$B$2:$B$203,A58)</f>
        <v>9.99</v>
      </c>
      <c r="H58" s="4">
        <f>SUMIF(refunds!$G$2:$G$15,A58,refunds!$D$2:$D$15)</f>
        <v>0</v>
      </c>
      <c r="I58" s="4">
        <f>users[[#This Row],[paid_usd]]-users[[#This Row],[refunded_usd]]</f>
        <v>9.99</v>
      </c>
      <c r="J58" s="4">
        <f>IF(users[[#This Row],[successful_payments_count]]&gt;0,1,0)</f>
        <v>1</v>
      </c>
    </row>
    <row r="59" spans="1:10">
      <c r="A59">
        <v>58</v>
      </c>
      <c r="B59" s="3">
        <v>46046.7716550926</v>
      </c>
      <c r="C59" t="s">
        <v>17</v>
      </c>
      <c r="D59" t="s">
        <v>22</v>
      </c>
      <c r="E59">
        <v>1</v>
      </c>
      <c r="F59" s="4">
        <f>COUNTIFS(payments!$B$2:$B$203,A59,payments!$F$2:$F$203,"succeeded")</f>
        <v>1</v>
      </c>
      <c r="G59" s="4">
        <f>SUMIFS(payments!$G$2:$G$203,payments!$F$2:$F$203,"succeeded",payments!$B$2:$B$203,A59)</f>
        <v>19.99</v>
      </c>
      <c r="H59" s="4">
        <f>SUMIF(refunds!$G$2:$G$15,A59,refunds!$D$2:$D$15)</f>
        <v>0</v>
      </c>
      <c r="I59" s="4">
        <f>users[[#This Row],[paid_usd]]-users[[#This Row],[refunded_usd]]</f>
        <v>19.99</v>
      </c>
      <c r="J59" s="4">
        <f>IF(users[[#This Row],[successful_payments_count]]&gt;0,1,0)</f>
        <v>1</v>
      </c>
    </row>
    <row r="60" spans="1:10">
      <c r="A60">
        <v>59</v>
      </c>
      <c r="B60" s="3">
        <v>46168.0047337963</v>
      </c>
      <c r="C60" t="s">
        <v>19</v>
      </c>
      <c r="D60" t="s">
        <v>4</v>
      </c>
      <c r="F60" s="4">
        <f>COUNTIFS(payments!$B$2:$B$203,A60,payments!$F$2:$F$203,"succeeded")</f>
        <v>0</v>
      </c>
      <c r="G60" s="4">
        <f>SUMIFS(payments!$G$2:$G$203,payments!$F$2:$F$203,"succeeded",payments!$B$2:$B$203,A60)</f>
        <v>0</v>
      </c>
      <c r="H60" s="4">
        <f>SUMIF(refunds!$G$2:$G$15,A60,refunds!$D$2:$D$15)</f>
        <v>0</v>
      </c>
      <c r="I60" s="4">
        <f>users[[#This Row],[paid_usd]]-users[[#This Row],[refunded_usd]]</f>
        <v>0</v>
      </c>
      <c r="J60" s="4">
        <f>IF(users[[#This Row],[successful_payments_count]]&gt;0,1,0)</f>
        <v>0</v>
      </c>
    </row>
    <row r="61" spans="1:10">
      <c r="A61">
        <v>60</v>
      </c>
      <c r="B61" s="3">
        <v>46136.8496643519</v>
      </c>
      <c r="C61" t="s">
        <v>19</v>
      </c>
      <c r="D61" t="s">
        <v>22</v>
      </c>
      <c r="E61">
        <v>6</v>
      </c>
      <c r="F61" s="4">
        <f>COUNTIFS(payments!$B$2:$B$203,A61,payments!$F$2:$F$203,"succeeded")</f>
        <v>0</v>
      </c>
      <c r="G61" s="4">
        <f>SUMIFS(payments!$G$2:$G$203,payments!$F$2:$F$203,"succeeded",payments!$B$2:$B$203,A61)</f>
        <v>0</v>
      </c>
      <c r="H61" s="4">
        <f>SUMIF(refunds!$G$2:$G$15,A61,refunds!$D$2:$D$15)</f>
        <v>0</v>
      </c>
      <c r="I61" s="4">
        <f>users[[#This Row],[paid_usd]]-users[[#This Row],[refunded_usd]]</f>
        <v>0</v>
      </c>
      <c r="J61" s="4">
        <f>IF(users[[#This Row],[successful_payments_count]]&gt;0,1,0)</f>
        <v>0</v>
      </c>
    </row>
    <row r="62" spans="1:10">
      <c r="A62">
        <v>61</v>
      </c>
      <c r="B62" s="3">
        <v>46183.5390046296</v>
      </c>
      <c r="C62" t="s">
        <v>14</v>
      </c>
      <c r="D62" t="s">
        <v>23</v>
      </c>
      <c r="E62">
        <v>1</v>
      </c>
      <c r="F62" s="4">
        <f>COUNTIFS(payments!$B$2:$B$203,A62,payments!$F$2:$F$203,"succeeded")</f>
        <v>0</v>
      </c>
      <c r="G62" s="4">
        <f>SUMIFS(payments!$G$2:$G$203,payments!$F$2:$F$203,"succeeded",payments!$B$2:$B$203,A62)</f>
        <v>0</v>
      </c>
      <c r="H62" s="4">
        <f>SUMIF(refunds!$G$2:$G$15,A62,refunds!$D$2:$D$15)</f>
        <v>0</v>
      </c>
      <c r="I62" s="4">
        <f>users[[#This Row],[paid_usd]]-users[[#This Row],[refunded_usd]]</f>
        <v>0</v>
      </c>
      <c r="J62" s="4">
        <f>IF(users[[#This Row],[successful_payments_count]]&gt;0,1,0)</f>
        <v>0</v>
      </c>
    </row>
    <row r="63" spans="1:10">
      <c r="A63">
        <v>62</v>
      </c>
      <c r="B63" s="3">
        <v>46131.7158680556</v>
      </c>
      <c r="C63" t="s">
        <v>17</v>
      </c>
      <c r="D63" t="s">
        <v>22</v>
      </c>
      <c r="E63">
        <v>6</v>
      </c>
      <c r="F63" s="4">
        <f>COUNTIFS(payments!$B$2:$B$203,A63,payments!$F$2:$F$203,"succeeded")</f>
        <v>0</v>
      </c>
      <c r="G63" s="4">
        <f>SUMIFS(payments!$G$2:$G$203,payments!$F$2:$F$203,"succeeded",payments!$B$2:$B$203,A63)</f>
        <v>0</v>
      </c>
      <c r="H63" s="4">
        <f>SUMIF(refunds!$G$2:$G$15,A63,refunds!$D$2:$D$15)</f>
        <v>0</v>
      </c>
      <c r="I63" s="4">
        <f>users[[#This Row],[paid_usd]]-users[[#This Row],[refunded_usd]]</f>
        <v>0</v>
      </c>
      <c r="J63" s="4">
        <f>IF(users[[#This Row],[successful_payments_count]]&gt;0,1,0)</f>
        <v>0</v>
      </c>
    </row>
    <row r="64" spans="1:10">
      <c r="A64">
        <v>63</v>
      </c>
      <c r="B64" s="3">
        <v>46078.5889699074</v>
      </c>
      <c r="C64" t="s">
        <v>16</v>
      </c>
      <c r="D64" t="s">
        <v>23</v>
      </c>
      <c r="E64">
        <v>4</v>
      </c>
      <c r="F64" s="4">
        <f>COUNTIFS(payments!$B$2:$B$203,A64,payments!$F$2:$F$203,"succeeded")</f>
        <v>0</v>
      </c>
      <c r="G64" s="4">
        <f>SUMIFS(payments!$G$2:$G$203,payments!$F$2:$F$203,"succeeded",payments!$B$2:$B$203,A64)</f>
        <v>0</v>
      </c>
      <c r="H64" s="4">
        <f>SUMIF(refunds!$G$2:$G$15,A64,refunds!$D$2:$D$15)</f>
        <v>0</v>
      </c>
      <c r="I64" s="4">
        <f>users[[#This Row],[paid_usd]]-users[[#This Row],[refunded_usd]]</f>
        <v>0</v>
      </c>
      <c r="J64" s="4">
        <f>IF(users[[#This Row],[successful_payments_count]]&gt;0,1,0)</f>
        <v>0</v>
      </c>
    </row>
    <row r="65" spans="1:10">
      <c r="A65">
        <v>64</v>
      </c>
      <c r="B65" s="3">
        <v>46158.4069560185</v>
      </c>
      <c r="C65" t="s">
        <v>18</v>
      </c>
      <c r="D65" t="s">
        <v>4</v>
      </c>
      <c r="E65">
        <v>1</v>
      </c>
      <c r="F65" s="4">
        <f>COUNTIFS(payments!$B$2:$B$203,A65,payments!$F$2:$F$203,"succeeded")</f>
        <v>0</v>
      </c>
      <c r="G65" s="4">
        <f>SUMIFS(payments!$G$2:$G$203,payments!$F$2:$F$203,"succeeded",payments!$B$2:$B$203,A65)</f>
        <v>0</v>
      </c>
      <c r="H65" s="4">
        <f>SUMIF(refunds!$G$2:$G$15,A65,refunds!$D$2:$D$15)</f>
        <v>0</v>
      </c>
      <c r="I65" s="4">
        <f>users[[#This Row],[paid_usd]]-users[[#This Row],[refunded_usd]]</f>
        <v>0</v>
      </c>
      <c r="J65" s="4">
        <f>IF(users[[#This Row],[successful_payments_count]]&gt;0,1,0)</f>
        <v>0</v>
      </c>
    </row>
    <row r="66" spans="1:10">
      <c r="A66">
        <v>65</v>
      </c>
      <c r="B66" s="3">
        <v>46141.5116319444</v>
      </c>
      <c r="C66" t="s">
        <v>17</v>
      </c>
      <c r="D66" t="s">
        <v>4</v>
      </c>
      <c r="E66">
        <v>6</v>
      </c>
      <c r="F66" s="4">
        <f>COUNTIFS(payments!$B$2:$B$203,A66,payments!$F$2:$F$203,"succeeded")</f>
        <v>1</v>
      </c>
      <c r="G66" s="4">
        <f>SUMIFS(payments!$G$2:$G$203,payments!$F$2:$F$203,"succeeded",payments!$B$2:$B$203,A66)</f>
        <v>4.99</v>
      </c>
      <c r="H66" s="4">
        <f>SUMIF(refunds!$G$2:$G$15,A66,refunds!$D$2:$D$15)</f>
        <v>0</v>
      </c>
      <c r="I66" s="4">
        <f>users[[#This Row],[paid_usd]]-users[[#This Row],[refunded_usd]]</f>
        <v>4.99</v>
      </c>
      <c r="J66" s="4">
        <f>IF(users[[#This Row],[successful_payments_count]]&gt;0,1,0)</f>
        <v>1</v>
      </c>
    </row>
    <row r="67" spans="1:10">
      <c r="A67">
        <v>66</v>
      </c>
      <c r="B67" s="3">
        <v>46118.4964236111</v>
      </c>
      <c r="C67" t="s">
        <v>18</v>
      </c>
      <c r="D67" t="s">
        <v>22</v>
      </c>
      <c r="E67">
        <v>6</v>
      </c>
      <c r="F67" s="4">
        <f>COUNTIFS(payments!$B$2:$B$203,A67,payments!$F$2:$F$203,"succeeded")</f>
        <v>1</v>
      </c>
      <c r="G67" s="4">
        <f>SUMIFS(payments!$G$2:$G$203,payments!$F$2:$F$203,"succeeded",payments!$B$2:$B$203,A67)</f>
        <v>9.99</v>
      </c>
      <c r="H67" s="4">
        <f>SUMIF(refunds!$G$2:$G$15,A67,refunds!$D$2:$D$15)</f>
        <v>0</v>
      </c>
      <c r="I67" s="4">
        <f>users[[#This Row],[paid_usd]]-users[[#This Row],[refunded_usd]]</f>
        <v>9.99</v>
      </c>
      <c r="J67" s="4">
        <f>IF(users[[#This Row],[successful_payments_count]]&gt;0,1,0)</f>
        <v>1</v>
      </c>
    </row>
    <row r="68" spans="1:10">
      <c r="A68">
        <v>67</v>
      </c>
      <c r="B68" s="3">
        <v>46074.4792476852</v>
      </c>
      <c r="C68" t="s">
        <v>17</v>
      </c>
      <c r="D68" t="s">
        <v>23</v>
      </c>
      <c r="E68">
        <v>1</v>
      </c>
      <c r="F68" s="4">
        <f>COUNTIFS(payments!$B$2:$B$203,A68,payments!$F$2:$F$203,"succeeded")</f>
        <v>1</v>
      </c>
      <c r="G68" s="4">
        <f>SUMIFS(payments!$G$2:$G$203,payments!$F$2:$F$203,"succeeded",payments!$B$2:$B$203,A68)</f>
        <v>19.99</v>
      </c>
      <c r="H68" s="4">
        <f>SUMIF(refunds!$G$2:$G$15,A68,refunds!$D$2:$D$15)</f>
        <v>0</v>
      </c>
      <c r="I68" s="4">
        <f>users[[#This Row],[paid_usd]]-users[[#This Row],[refunded_usd]]</f>
        <v>19.99</v>
      </c>
      <c r="J68" s="4">
        <f>IF(users[[#This Row],[successful_payments_count]]&gt;0,1,0)</f>
        <v>1</v>
      </c>
    </row>
    <row r="69" spans="1:10">
      <c r="A69">
        <v>68</v>
      </c>
      <c r="B69" s="3">
        <v>46037.8821296296</v>
      </c>
      <c r="C69" t="s">
        <v>14</v>
      </c>
      <c r="D69" t="s">
        <v>4</v>
      </c>
      <c r="E69">
        <v>1</v>
      </c>
      <c r="F69" s="4">
        <f>COUNTIFS(payments!$B$2:$B$203,A69,payments!$F$2:$F$203,"succeeded")</f>
        <v>0</v>
      </c>
      <c r="G69" s="4">
        <f>SUMIFS(payments!$G$2:$G$203,payments!$F$2:$F$203,"succeeded",payments!$B$2:$B$203,A69)</f>
        <v>0</v>
      </c>
      <c r="H69" s="4">
        <f>SUMIF(refunds!$G$2:$G$15,A69,refunds!$D$2:$D$15)</f>
        <v>0</v>
      </c>
      <c r="I69" s="4">
        <f>users[[#This Row],[paid_usd]]-users[[#This Row],[refunded_usd]]</f>
        <v>0</v>
      </c>
      <c r="J69" s="4">
        <f>IF(users[[#This Row],[successful_payments_count]]&gt;0,1,0)</f>
        <v>0</v>
      </c>
    </row>
    <row r="70" spans="1:10">
      <c r="A70">
        <v>69</v>
      </c>
      <c r="B70" s="3">
        <v>46085.684212963</v>
      </c>
      <c r="C70" t="s">
        <v>16</v>
      </c>
      <c r="D70" t="s">
        <v>4</v>
      </c>
      <c r="E70">
        <v>1</v>
      </c>
      <c r="F70" s="4">
        <f>COUNTIFS(payments!$B$2:$B$203,A70,payments!$F$2:$F$203,"succeeded")</f>
        <v>1</v>
      </c>
      <c r="G70" s="4">
        <f>SUMIFS(payments!$G$2:$G$203,payments!$F$2:$F$203,"succeeded",payments!$B$2:$B$203,A70)</f>
        <v>19.99</v>
      </c>
      <c r="H70" s="4">
        <f>SUMIF(refunds!$G$2:$G$15,A70,refunds!$D$2:$D$15)</f>
        <v>0</v>
      </c>
      <c r="I70" s="4">
        <f>users[[#This Row],[paid_usd]]-users[[#This Row],[refunded_usd]]</f>
        <v>19.99</v>
      </c>
      <c r="J70" s="4">
        <f>IF(users[[#This Row],[successful_payments_count]]&gt;0,1,0)</f>
        <v>1</v>
      </c>
    </row>
    <row r="71" spans="1:10">
      <c r="A71">
        <v>70</v>
      </c>
      <c r="B71" s="3">
        <v>46146.1932060185</v>
      </c>
      <c r="C71" t="s">
        <v>16</v>
      </c>
      <c r="D71" t="s">
        <v>23</v>
      </c>
      <c r="E71">
        <v>2</v>
      </c>
      <c r="F71" s="4">
        <f>COUNTIFS(payments!$B$2:$B$203,A71,payments!$F$2:$F$203,"succeeded")</f>
        <v>2</v>
      </c>
      <c r="G71" s="4">
        <f>SUMIFS(payments!$G$2:$G$203,payments!$F$2:$F$203,"succeeded",payments!$B$2:$B$203,A71)</f>
        <v>12.98</v>
      </c>
      <c r="H71" s="4">
        <f>SUMIF(refunds!$G$2:$G$15,A71,refunds!$D$2:$D$15)</f>
        <v>0</v>
      </c>
      <c r="I71" s="4">
        <f>users[[#This Row],[paid_usd]]-users[[#This Row],[refunded_usd]]</f>
        <v>12.98</v>
      </c>
      <c r="J71" s="4">
        <f>IF(users[[#This Row],[successful_payments_count]]&gt;0,1,0)</f>
        <v>1</v>
      </c>
    </row>
    <row r="72" spans="1:10">
      <c r="A72">
        <v>71</v>
      </c>
      <c r="B72" s="3">
        <v>46152.1307638889</v>
      </c>
      <c r="C72" t="s">
        <v>14</v>
      </c>
      <c r="D72" t="s">
        <v>22</v>
      </c>
      <c r="E72">
        <v>3</v>
      </c>
      <c r="F72" s="4">
        <f>COUNTIFS(payments!$B$2:$B$203,A72,payments!$F$2:$F$203,"succeeded")</f>
        <v>0</v>
      </c>
      <c r="G72" s="4">
        <f>SUMIFS(payments!$G$2:$G$203,payments!$F$2:$F$203,"succeeded",payments!$B$2:$B$203,A72)</f>
        <v>0</v>
      </c>
      <c r="H72" s="4">
        <f>SUMIF(refunds!$G$2:$G$15,A72,refunds!$D$2:$D$15)</f>
        <v>0</v>
      </c>
      <c r="I72" s="4">
        <f>users[[#This Row],[paid_usd]]-users[[#This Row],[refunded_usd]]</f>
        <v>0</v>
      </c>
      <c r="J72" s="4">
        <f>IF(users[[#This Row],[successful_payments_count]]&gt;0,1,0)</f>
        <v>0</v>
      </c>
    </row>
    <row r="73" spans="1:10">
      <c r="A73">
        <v>72</v>
      </c>
      <c r="B73" s="3">
        <v>46063.5606018519</v>
      </c>
      <c r="C73" t="s">
        <v>16</v>
      </c>
      <c r="D73" t="s">
        <v>22</v>
      </c>
      <c r="F73" s="4">
        <f>COUNTIFS(payments!$B$2:$B$203,A73,payments!$F$2:$F$203,"succeeded")</f>
        <v>0</v>
      </c>
      <c r="G73" s="4">
        <f>SUMIFS(payments!$G$2:$G$203,payments!$F$2:$F$203,"succeeded",payments!$B$2:$B$203,A73)</f>
        <v>0</v>
      </c>
      <c r="H73" s="4">
        <f>SUMIF(refunds!$G$2:$G$15,A73,refunds!$D$2:$D$15)</f>
        <v>0</v>
      </c>
      <c r="I73" s="4">
        <f>users[[#This Row],[paid_usd]]-users[[#This Row],[refunded_usd]]</f>
        <v>0</v>
      </c>
      <c r="J73" s="4">
        <f>IF(users[[#This Row],[successful_payments_count]]&gt;0,1,0)</f>
        <v>0</v>
      </c>
    </row>
    <row r="74" spans="1:10">
      <c r="A74">
        <v>73</v>
      </c>
      <c r="B74" s="3">
        <v>46119.4893171296</v>
      </c>
      <c r="C74" t="s">
        <v>19</v>
      </c>
      <c r="D74" t="s">
        <v>23</v>
      </c>
      <c r="E74">
        <v>3</v>
      </c>
      <c r="F74" s="4">
        <f>COUNTIFS(payments!$B$2:$B$203,A74,payments!$F$2:$F$203,"succeeded")</f>
        <v>0</v>
      </c>
      <c r="G74" s="4">
        <f>SUMIFS(payments!$G$2:$G$203,payments!$F$2:$F$203,"succeeded",payments!$B$2:$B$203,A74)</f>
        <v>0</v>
      </c>
      <c r="H74" s="4">
        <f>SUMIF(refunds!$G$2:$G$15,A74,refunds!$D$2:$D$15)</f>
        <v>0</v>
      </c>
      <c r="I74" s="4">
        <f>users[[#This Row],[paid_usd]]-users[[#This Row],[refunded_usd]]</f>
        <v>0</v>
      </c>
      <c r="J74" s="4">
        <f>IF(users[[#This Row],[successful_payments_count]]&gt;0,1,0)</f>
        <v>0</v>
      </c>
    </row>
    <row r="75" spans="1:10">
      <c r="A75">
        <v>74</v>
      </c>
      <c r="B75" s="3">
        <v>46119.3258333333</v>
      </c>
      <c r="C75" t="s">
        <v>19</v>
      </c>
      <c r="D75" t="s">
        <v>22</v>
      </c>
      <c r="F75" s="4">
        <f>COUNTIFS(payments!$B$2:$B$203,A75,payments!$F$2:$F$203,"succeeded")</f>
        <v>0</v>
      </c>
      <c r="G75" s="4">
        <f>SUMIFS(payments!$G$2:$G$203,payments!$F$2:$F$203,"succeeded",payments!$B$2:$B$203,A75)</f>
        <v>0</v>
      </c>
      <c r="H75" s="4">
        <f>SUMIF(refunds!$G$2:$G$15,A75,refunds!$D$2:$D$15)</f>
        <v>0</v>
      </c>
      <c r="I75" s="4">
        <f>users[[#This Row],[paid_usd]]-users[[#This Row],[refunded_usd]]</f>
        <v>0</v>
      </c>
      <c r="J75" s="4">
        <f>IF(users[[#This Row],[successful_payments_count]]&gt;0,1,0)</f>
        <v>0</v>
      </c>
    </row>
    <row r="76" spans="1:10">
      <c r="A76">
        <v>75</v>
      </c>
      <c r="B76" s="3">
        <v>46147.2901388889</v>
      </c>
      <c r="C76" t="s">
        <v>15</v>
      </c>
      <c r="D76" t="s">
        <v>4</v>
      </c>
      <c r="E76">
        <v>6</v>
      </c>
      <c r="F76" s="4">
        <f>COUNTIFS(payments!$B$2:$B$203,A76,payments!$F$2:$F$203,"succeeded")</f>
        <v>0</v>
      </c>
      <c r="G76" s="4">
        <f>SUMIFS(payments!$G$2:$G$203,payments!$F$2:$F$203,"succeeded",payments!$B$2:$B$203,A76)</f>
        <v>0</v>
      </c>
      <c r="H76" s="4">
        <f>SUMIF(refunds!$G$2:$G$15,A76,refunds!$D$2:$D$15)</f>
        <v>0</v>
      </c>
      <c r="I76" s="4">
        <f>users[[#This Row],[paid_usd]]-users[[#This Row],[refunded_usd]]</f>
        <v>0</v>
      </c>
      <c r="J76" s="4">
        <f>IF(users[[#This Row],[successful_payments_count]]&gt;0,1,0)</f>
        <v>0</v>
      </c>
    </row>
    <row r="77" spans="1:10">
      <c r="A77">
        <v>76</v>
      </c>
      <c r="B77" s="3">
        <v>46051.6045601852</v>
      </c>
      <c r="C77" t="s">
        <v>18</v>
      </c>
      <c r="D77" t="s">
        <v>23</v>
      </c>
      <c r="E77">
        <v>2</v>
      </c>
      <c r="F77" s="4">
        <f>COUNTIFS(payments!$B$2:$B$203,A77,payments!$F$2:$F$203,"succeeded")</f>
        <v>1</v>
      </c>
      <c r="G77" s="4">
        <f>SUMIFS(payments!$G$2:$G$203,payments!$F$2:$F$203,"succeeded",payments!$B$2:$B$203,A77)</f>
        <v>15.99</v>
      </c>
      <c r="H77" s="4">
        <f>SUMIF(refunds!$G$2:$G$15,A77,refunds!$D$2:$D$15)</f>
        <v>0</v>
      </c>
      <c r="I77" s="4">
        <f>users[[#This Row],[paid_usd]]-users[[#This Row],[refunded_usd]]</f>
        <v>15.99</v>
      </c>
      <c r="J77" s="4">
        <f>IF(users[[#This Row],[successful_payments_count]]&gt;0,1,0)</f>
        <v>1</v>
      </c>
    </row>
    <row r="78" spans="1:10">
      <c r="A78">
        <v>77</v>
      </c>
      <c r="B78" s="3">
        <v>46138.5666435185</v>
      </c>
      <c r="C78" t="s">
        <v>19</v>
      </c>
      <c r="D78" t="s">
        <v>23</v>
      </c>
      <c r="E78">
        <v>5</v>
      </c>
      <c r="F78" s="4">
        <f>COUNTIFS(payments!$B$2:$B$203,A78,payments!$F$2:$F$203,"succeeded")</f>
        <v>0</v>
      </c>
      <c r="G78" s="4">
        <f>SUMIFS(payments!$G$2:$G$203,payments!$F$2:$F$203,"succeeded",payments!$B$2:$B$203,A78)</f>
        <v>0</v>
      </c>
      <c r="H78" s="4">
        <f>SUMIF(refunds!$G$2:$G$15,A78,refunds!$D$2:$D$15)</f>
        <v>0</v>
      </c>
      <c r="I78" s="4">
        <f>users[[#This Row],[paid_usd]]-users[[#This Row],[refunded_usd]]</f>
        <v>0</v>
      </c>
      <c r="J78" s="4">
        <f>IF(users[[#This Row],[successful_payments_count]]&gt;0,1,0)</f>
        <v>0</v>
      </c>
    </row>
    <row r="79" spans="1:10">
      <c r="A79">
        <v>78</v>
      </c>
      <c r="B79" s="3">
        <v>46187.6928356482</v>
      </c>
      <c r="C79" t="s">
        <v>16</v>
      </c>
      <c r="D79" t="s">
        <v>4</v>
      </c>
      <c r="E79">
        <v>5</v>
      </c>
      <c r="F79" s="4">
        <f>COUNTIFS(payments!$B$2:$B$203,A79,payments!$F$2:$F$203,"succeeded")</f>
        <v>0</v>
      </c>
      <c r="G79" s="4">
        <f>SUMIFS(payments!$G$2:$G$203,payments!$F$2:$F$203,"succeeded",payments!$B$2:$B$203,A79)</f>
        <v>0</v>
      </c>
      <c r="H79" s="4">
        <f>SUMIF(refunds!$G$2:$G$15,A79,refunds!$D$2:$D$15)</f>
        <v>0</v>
      </c>
      <c r="I79" s="4">
        <f>users[[#This Row],[paid_usd]]-users[[#This Row],[refunded_usd]]</f>
        <v>0</v>
      </c>
      <c r="J79" s="4">
        <f>IF(users[[#This Row],[successful_payments_count]]&gt;0,1,0)</f>
        <v>0</v>
      </c>
    </row>
    <row r="80" spans="1:10">
      <c r="A80">
        <v>79</v>
      </c>
      <c r="B80" s="3">
        <v>46090.8465856481</v>
      </c>
      <c r="C80" t="s">
        <v>19</v>
      </c>
      <c r="D80" t="s">
        <v>22</v>
      </c>
      <c r="E80">
        <v>4</v>
      </c>
      <c r="F80" s="4">
        <f>COUNTIFS(payments!$B$2:$B$203,A80,payments!$F$2:$F$203,"succeeded")</f>
        <v>0</v>
      </c>
      <c r="G80" s="4">
        <f>SUMIFS(payments!$G$2:$G$203,payments!$F$2:$F$203,"succeeded",payments!$B$2:$B$203,A80)</f>
        <v>0</v>
      </c>
      <c r="H80" s="4">
        <f>SUMIF(refunds!$G$2:$G$15,A80,refunds!$D$2:$D$15)</f>
        <v>0</v>
      </c>
      <c r="I80" s="4">
        <f>users[[#This Row],[paid_usd]]-users[[#This Row],[refunded_usd]]</f>
        <v>0</v>
      </c>
      <c r="J80" s="4">
        <f>IF(users[[#This Row],[successful_payments_count]]&gt;0,1,0)</f>
        <v>0</v>
      </c>
    </row>
    <row r="81" spans="1:10">
      <c r="A81">
        <v>80</v>
      </c>
      <c r="B81" s="3">
        <v>46101.1170949074</v>
      </c>
      <c r="C81" t="s">
        <v>19</v>
      </c>
      <c r="D81" t="s">
        <v>4</v>
      </c>
      <c r="E81">
        <v>4</v>
      </c>
      <c r="F81" s="4">
        <f>COUNTIFS(payments!$B$2:$B$203,A81,payments!$F$2:$F$203,"succeeded")</f>
        <v>0</v>
      </c>
      <c r="G81" s="4">
        <f>SUMIFS(payments!$G$2:$G$203,payments!$F$2:$F$203,"succeeded",payments!$B$2:$B$203,A81)</f>
        <v>0</v>
      </c>
      <c r="H81" s="4">
        <f>SUMIF(refunds!$G$2:$G$15,A81,refunds!$D$2:$D$15)</f>
        <v>0</v>
      </c>
      <c r="I81" s="4">
        <f>users[[#This Row],[paid_usd]]-users[[#This Row],[refunded_usd]]</f>
        <v>0</v>
      </c>
      <c r="J81" s="4">
        <f>IF(users[[#This Row],[successful_payments_count]]&gt;0,1,0)</f>
        <v>0</v>
      </c>
    </row>
    <row r="82" spans="1:10">
      <c r="A82">
        <v>81</v>
      </c>
      <c r="B82" s="3">
        <v>46057.1047222222</v>
      </c>
      <c r="C82" t="s">
        <v>14</v>
      </c>
      <c r="D82" t="s">
        <v>22</v>
      </c>
      <c r="E82">
        <v>3</v>
      </c>
      <c r="F82" s="4">
        <f>COUNTIFS(payments!$B$2:$B$203,A82,payments!$F$2:$F$203,"succeeded")</f>
        <v>0</v>
      </c>
      <c r="G82" s="4">
        <f>SUMIFS(payments!$G$2:$G$203,payments!$F$2:$F$203,"succeeded",payments!$B$2:$B$203,A82)</f>
        <v>0</v>
      </c>
      <c r="H82" s="4">
        <f>SUMIF(refunds!$G$2:$G$15,A82,refunds!$D$2:$D$15)</f>
        <v>0</v>
      </c>
      <c r="I82" s="4">
        <f>users[[#This Row],[paid_usd]]-users[[#This Row],[refunded_usd]]</f>
        <v>0</v>
      </c>
      <c r="J82" s="4">
        <f>IF(users[[#This Row],[successful_payments_count]]&gt;0,1,0)</f>
        <v>0</v>
      </c>
    </row>
    <row r="83" spans="1:10">
      <c r="A83">
        <v>82</v>
      </c>
      <c r="B83" s="3">
        <v>46110.2311458333</v>
      </c>
      <c r="C83" t="s">
        <v>17</v>
      </c>
      <c r="D83" t="s">
        <v>4</v>
      </c>
      <c r="F83" s="4">
        <f>COUNTIFS(payments!$B$2:$B$203,A83,payments!$F$2:$F$203,"succeeded")</f>
        <v>0</v>
      </c>
      <c r="G83" s="4">
        <f>SUMIFS(payments!$G$2:$G$203,payments!$F$2:$F$203,"succeeded",payments!$B$2:$B$203,A83)</f>
        <v>0</v>
      </c>
      <c r="H83" s="4">
        <f>SUMIF(refunds!$G$2:$G$15,A83,refunds!$D$2:$D$15)</f>
        <v>0</v>
      </c>
      <c r="I83" s="4">
        <f>users[[#This Row],[paid_usd]]-users[[#This Row],[refunded_usd]]</f>
        <v>0</v>
      </c>
      <c r="J83" s="4">
        <f>IF(users[[#This Row],[successful_payments_count]]&gt;0,1,0)</f>
        <v>0</v>
      </c>
    </row>
    <row r="84" spans="1:10">
      <c r="A84">
        <v>83</v>
      </c>
      <c r="B84" s="3">
        <v>46094.5920717593</v>
      </c>
      <c r="C84" t="s">
        <v>17</v>
      </c>
      <c r="D84" t="s">
        <v>22</v>
      </c>
      <c r="F84" s="4">
        <f>COUNTIFS(payments!$B$2:$B$203,A84,payments!$F$2:$F$203,"succeeded")</f>
        <v>0</v>
      </c>
      <c r="G84" s="4">
        <f>SUMIFS(payments!$G$2:$G$203,payments!$F$2:$F$203,"succeeded",payments!$B$2:$B$203,A84)</f>
        <v>0</v>
      </c>
      <c r="H84" s="4">
        <f>SUMIF(refunds!$G$2:$G$15,A84,refunds!$D$2:$D$15)</f>
        <v>0</v>
      </c>
      <c r="I84" s="4">
        <f>users[[#This Row],[paid_usd]]-users[[#This Row],[refunded_usd]]</f>
        <v>0</v>
      </c>
      <c r="J84" s="4">
        <f>IF(users[[#This Row],[successful_payments_count]]&gt;0,1,0)</f>
        <v>0</v>
      </c>
    </row>
    <row r="85" spans="1:10">
      <c r="A85">
        <v>84</v>
      </c>
      <c r="B85" s="3">
        <v>46103.8580208333</v>
      </c>
      <c r="C85" t="s">
        <v>16</v>
      </c>
      <c r="D85" t="s">
        <v>23</v>
      </c>
      <c r="E85">
        <v>3</v>
      </c>
      <c r="F85" s="4">
        <f>COUNTIFS(payments!$B$2:$B$203,A85,payments!$F$2:$F$203,"succeeded")</f>
        <v>0</v>
      </c>
      <c r="G85" s="4">
        <f>SUMIFS(payments!$G$2:$G$203,payments!$F$2:$F$203,"succeeded",payments!$B$2:$B$203,A85)</f>
        <v>0</v>
      </c>
      <c r="H85" s="4">
        <f>SUMIF(refunds!$G$2:$G$15,A85,refunds!$D$2:$D$15)</f>
        <v>0</v>
      </c>
      <c r="I85" s="4">
        <f>users[[#This Row],[paid_usd]]-users[[#This Row],[refunded_usd]]</f>
        <v>0</v>
      </c>
      <c r="J85" s="4">
        <f>IF(users[[#This Row],[successful_payments_count]]&gt;0,1,0)</f>
        <v>0</v>
      </c>
    </row>
    <row r="86" spans="1:10">
      <c r="A86">
        <v>85</v>
      </c>
      <c r="B86" s="3">
        <v>46075.7352893519</v>
      </c>
      <c r="C86" t="s">
        <v>17</v>
      </c>
      <c r="D86" t="s">
        <v>23</v>
      </c>
      <c r="E86">
        <v>1</v>
      </c>
      <c r="F86" s="4">
        <f>COUNTIFS(payments!$B$2:$B$203,A86,payments!$F$2:$F$203,"succeeded")</f>
        <v>0</v>
      </c>
      <c r="G86" s="4">
        <f>SUMIFS(payments!$G$2:$G$203,payments!$F$2:$F$203,"succeeded",payments!$B$2:$B$203,A86)</f>
        <v>0</v>
      </c>
      <c r="H86" s="4">
        <f>SUMIF(refunds!$G$2:$G$15,A86,refunds!$D$2:$D$15)</f>
        <v>0</v>
      </c>
      <c r="I86" s="4">
        <f>users[[#This Row],[paid_usd]]-users[[#This Row],[refunded_usd]]</f>
        <v>0</v>
      </c>
      <c r="J86" s="4">
        <f>IF(users[[#This Row],[successful_payments_count]]&gt;0,1,0)</f>
        <v>0</v>
      </c>
    </row>
    <row r="87" spans="1:10">
      <c r="A87">
        <v>86</v>
      </c>
      <c r="B87" s="3">
        <v>46190.4218171296</v>
      </c>
      <c r="C87" t="s">
        <v>16</v>
      </c>
      <c r="D87" t="s">
        <v>4</v>
      </c>
      <c r="F87" s="4">
        <f>COUNTIFS(payments!$B$2:$B$203,A87,payments!$F$2:$F$203,"succeeded")</f>
        <v>0</v>
      </c>
      <c r="G87" s="4">
        <f>SUMIFS(payments!$G$2:$G$203,payments!$F$2:$F$203,"succeeded",payments!$B$2:$B$203,A87)</f>
        <v>0</v>
      </c>
      <c r="H87" s="4">
        <f>SUMIF(refunds!$G$2:$G$15,A87,refunds!$D$2:$D$15)</f>
        <v>0</v>
      </c>
      <c r="I87" s="4">
        <f>users[[#This Row],[paid_usd]]-users[[#This Row],[refunded_usd]]</f>
        <v>0</v>
      </c>
      <c r="J87" s="4">
        <f>IF(users[[#This Row],[successful_payments_count]]&gt;0,1,0)</f>
        <v>0</v>
      </c>
    </row>
    <row r="88" spans="1:10">
      <c r="A88">
        <v>87</v>
      </c>
      <c r="B88" s="3">
        <v>46036.4002199074</v>
      </c>
      <c r="C88" t="s">
        <v>14</v>
      </c>
      <c r="D88" t="s">
        <v>4</v>
      </c>
      <c r="F88" s="4">
        <f>COUNTIFS(payments!$B$2:$B$203,A88,payments!$F$2:$F$203,"succeeded")</f>
        <v>0</v>
      </c>
      <c r="G88" s="4">
        <f>SUMIFS(payments!$G$2:$G$203,payments!$F$2:$F$203,"succeeded",payments!$B$2:$B$203,A88)</f>
        <v>0</v>
      </c>
      <c r="H88" s="4">
        <f>SUMIF(refunds!$G$2:$G$15,A88,refunds!$D$2:$D$15)</f>
        <v>0</v>
      </c>
      <c r="I88" s="4">
        <f>users[[#This Row],[paid_usd]]-users[[#This Row],[refunded_usd]]</f>
        <v>0</v>
      </c>
      <c r="J88" s="4">
        <f>IF(users[[#This Row],[successful_payments_count]]&gt;0,1,0)</f>
        <v>0</v>
      </c>
    </row>
    <row r="89" spans="1:10">
      <c r="A89">
        <v>88</v>
      </c>
      <c r="B89" s="3">
        <v>46070.1260416667</v>
      </c>
      <c r="C89" t="s">
        <v>17</v>
      </c>
      <c r="D89" t="s">
        <v>23</v>
      </c>
      <c r="E89">
        <v>2</v>
      </c>
      <c r="F89" s="4">
        <f>COUNTIFS(payments!$B$2:$B$203,A89,payments!$F$2:$F$203,"succeeded")</f>
        <v>0</v>
      </c>
      <c r="G89" s="4">
        <f>SUMIFS(payments!$G$2:$G$203,payments!$F$2:$F$203,"succeeded",payments!$B$2:$B$203,A89)</f>
        <v>0</v>
      </c>
      <c r="H89" s="4">
        <f>SUMIF(refunds!$G$2:$G$15,A89,refunds!$D$2:$D$15)</f>
        <v>0</v>
      </c>
      <c r="I89" s="4">
        <f>users[[#This Row],[paid_usd]]-users[[#This Row],[refunded_usd]]</f>
        <v>0</v>
      </c>
      <c r="J89" s="4">
        <f>IF(users[[#This Row],[successful_payments_count]]&gt;0,1,0)</f>
        <v>0</v>
      </c>
    </row>
    <row r="90" spans="1:10">
      <c r="A90">
        <v>89</v>
      </c>
      <c r="B90" s="3">
        <v>46025.5498263889</v>
      </c>
      <c r="C90" t="s">
        <v>15</v>
      </c>
      <c r="D90" t="s">
        <v>22</v>
      </c>
      <c r="F90" s="4">
        <f>COUNTIFS(payments!$B$2:$B$203,A90,payments!$F$2:$F$203,"succeeded")</f>
        <v>0</v>
      </c>
      <c r="G90" s="4">
        <f>SUMIFS(payments!$G$2:$G$203,payments!$F$2:$F$203,"succeeded",payments!$B$2:$B$203,A90)</f>
        <v>0</v>
      </c>
      <c r="H90" s="4">
        <f>SUMIF(refunds!$G$2:$G$15,A90,refunds!$D$2:$D$15)</f>
        <v>0</v>
      </c>
      <c r="I90" s="4">
        <f>users[[#This Row],[paid_usd]]-users[[#This Row],[refunded_usd]]</f>
        <v>0</v>
      </c>
      <c r="J90" s="4">
        <f>IF(users[[#This Row],[successful_payments_count]]&gt;0,1,0)</f>
        <v>0</v>
      </c>
    </row>
    <row r="91" spans="1:10">
      <c r="A91">
        <v>90</v>
      </c>
      <c r="B91" s="3">
        <v>46104.0400810185</v>
      </c>
      <c r="C91" t="s">
        <v>17</v>
      </c>
      <c r="D91" t="s">
        <v>4</v>
      </c>
      <c r="E91">
        <v>2</v>
      </c>
      <c r="F91" s="4">
        <f>COUNTIFS(payments!$B$2:$B$203,A91,payments!$F$2:$F$203,"succeeded")</f>
        <v>0</v>
      </c>
      <c r="G91" s="4">
        <f>SUMIFS(payments!$G$2:$G$203,payments!$F$2:$F$203,"succeeded",payments!$B$2:$B$203,A91)</f>
        <v>0</v>
      </c>
      <c r="H91" s="4">
        <f>SUMIF(refunds!$G$2:$G$15,A91,refunds!$D$2:$D$15)</f>
        <v>0</v>
      </c>
      <c r="I91" s="4">
        <f>users[[#This Row],[paid_usd]]-users[[#This Row],[refunded_usd]]</f>
        <v>0</v>
      </c>
      <c r="J91" s="4">
        <f>IF(users[[#This Row],[successful_payments_count]]&gt;0,1,0)</f>
        <v>0</v>
      </c>
    </row>
    <row r="92" spans="1:10">
      <c r="A92">
        <v>91</v>
      </c>
      <c r="B92" s="3">
        <v>46057.0130208333</v>
      </c>
      <c r="C92" t="s">
        <v>15</v>
      </c>
      <c r="D92" t="s">
        <v>4</v>
      </c>
      <c r="E92">
        <v>3</v>
      </c>
      <c r="F92" s="4">
        <f>COUNTIFS(payments!$B$2:$B$203,A92,payments!$F$2:$F$203,"succeeded")</f>
        <v>1</v>
      </c>
      <c r="G92" s="4">
        <f>SUMIFS(payments!$G$2:$G$203,payments!$F$2:$F$203,"succeeded",payments!$B$2:$B$203,A92)</f>
        <v>9.99</v>
      </c>
      <c r="H92" s="4">
        <f>SUMIF(refunds!$G$2:$G$15,A92,refunds!$D$2:$D$15)</f>
        <v>0</v>
      </c>
      <c r="I92" s="4">
        <f>users[[#This Row],[paid_usd]]-users[[#This Row],[refunded_usd]]</f>
        <v>9.99</v>
      </c>
      <c r="J92" s="4">
        <f>IF(users[[#This Row],[successful_payments_count]]&gt;0,1,0)</f>
        <v>1</v>
      </c>
    </row>
    <row r="93" spans="1:10">
      <c r="A93">
        <v>92</v>
      </c>
      <c r="B93" s="3">
        <v>46110.8894212963</v>
      </c>
      <c r="C93" t="s">
        <v>17</v>
      </c>
      <c r="D93" t="s">
        <v>22</v>
      </c>
      <c r="E93">
        <v>2</v>
      </c>
      <c r="F93" s="4">
        <f>COUNTIFS(payments!$B$2:$B$203,A93,payments!$F$2:$F$203,"succeeded")</f>
        <v>0</v>
      </c>
      <c r="G93" s="4">
        <f>SUMIFS(payments!$G$2:$G$203,payments!$F$2:$F$203,"succeeded",payments!$B$2:$B$203,A93)</f>
        <v>0</v>
      </c>
      <c r="H93" s="4">
        <f>SUMIF(refunds!$G$2:$G$15,A93,refunds!$D$2:$D$15)</f>
        <v>0</v>
      </c>
      <c r="I93" s="4">
        <f>users[[#This Row],[paid_usd]]-users[[#This Row],[refunded_usd]]</f>
        <v>0</v>
      </c>
      <c r="J93" s="4">
        <f>IF(users[[#This Row],[successful_payments_count]]&gt;0,1,0)</f>
        <v>0</v>
      </c>
    </row>
    <row r="94" spans="1:10">
      <c r="A94">
        <v>93</v>
      </c>
      <c r="B94" s="3">
        <v>46165.9921412037</v>
      </c>
      <c r="C94" t="s">
        <v>19</v>
      </c>
      <c r="D94" t="s">
        <v>23</v>
      </c>
      <c r="E94">
        <v>2</v>
      </c>
      <c r="F94" s="4">
        <f>COUNTIFS(payments!$B$2:$B$203,A94,payments!$F$2:$F$203,"succeeded")</f>
        <v>0</v>
      </c>
      <c r="G94" s="4">
        <f>SUMIFS(payments!$G$2:$G$203,payments!$F$2:$F$203,"succeeded",payments!$B$2:$B$203,A94)</f>
        <v>0</v>
      </c>
      <c r="H94" s="4">
        <f>SUMIF(refunds!$G$2:$G$15,A94,refunds!$D$2:$D$15)</f>
        <v>0</v>
      </c>
      <c r="I94" s="4">
        <f>users[[#This Row],[paid_usd]]-users[[#This Row],[refunded_usd]]</f>
        <v>0</v>
      </c>
      <c r="J94" s="4">
        <f>IF(users[[#This Row],[successful_payments_count]]&gt;0,1,0)</f>
        <v>0</v>
      </c>
    </row>
    <row r="95" spans="1:10">
      <c r="A95">
        <v>94</v>
      </c>
      <c r="B95" s="3">
        <v>46141.4593981481</v>
      </c>
      <c r="C95" t="s">
        <v>18</v>
      </c>
      <c r="D95" t="s">
        <v>22</v>
      </c>
      <c r="E95">
        <v>4</v>
      </c>
      <c r="F95" s="4">
        <f>COUNTIFS(payments!$B$2:$B$203,A95,payments!$F$2:$F$203,"succeeded")</f>
        <v>0</v>
      </c>
      <c r="G95" s="4">
        <f>SUMIFS(payments!$G$2:$G$203,payments!$F$2:$F$203,"succeeded",payments!$B$2:$B$203,A95)</f>
        <v>0</v>
      </c>
      <c r="H95" s="4">
        <f>SUMIF(refunds!$G$2:$G$15,A95,refunds!$D$2:$D$15)</f>
        <v>0</v>
      </c>
      <c r="I95" s="4">
        <f>users[[#This Row],[paid_usd]]-users[[#This Row],[refunded_usd]]</f>
        <v>0</v>
      </c>
      <c r="J95" s="4">
        <f>IF(users[[#This Row],[successful_payments_count]]&gt;0,1,0)</f>
        <v>0</v>
      </c>
    </row>
    <row r="96" spans="1:10">
      <c r="A96">
        <v>95</v>
      </c>
      <c r="B96" s="3">
        <v>46168.4675</v>
      </c>
      <c r="C96" t="s">
        <v>19</v>
      </c>
      <c r="D96" t="s">
        <v>22</v>
      </c>
      <c r="E96">
        <v>3</v>
      </c>
      <c r="F96" s="4">
        <f>COUNTIFS(payments!$B$2:$B$203,A96,payments!$F$2:$F$203,"succeeded")</f>
        <v>0</v>
      </c>
      <c r="G96" s="4">
        <f>SUMIFS(payments!$G$2:$G$203,payments!$F$2:$F$203,"succeeded",payments!$B$2:$B$203,A96)</f>
        <v>0</v>
      </c>
      <c r="H96" s="4">
        <f>SUMIF(refunds!$G$2:$G$15,A96,refunds!$D$2:$D$15)</f>
        <v>0</v>
      </c>
      <c r="I96" s="4">
        <f>users[[#This Row],[paid_usd]]-users[[#This Row],[refunded_usd]]</f>
        <v>0</v>
      </c>
      <c r="J96" s="4">
        <f>IF(users[[#This Row],[successful_payments_count]]&gt;0,1,0)</f>
        <v>0</v>
      </c>
    </row>
    <row r="97" spans="1:10">
      <c r="A97">
        <v>96</v>
      </c>
      <c r="B97" s="3">
        <v>46131.1884490741</v>
      </c>
      <c r="C97" t="s">
        <v>18</v>
      </c>
      <c r="D97" t="s">
        <v>23</v>
      </c>
      <c r="E97">
        <v>3</v>
      </c>
      <c r="F97" s="4">
        <f>COUNTIFS(payments!$B$2:$B$203,A97,payments!$F$2:$F$203,"succeeded")</f>
        <v>0</v>
      </c>
      <c r="G97" s="4">
        <f>SUMIFS(payments!$G$2:$G$203,payments!$F$2:$F$203,"succeeded",payments!$B$2:$B$203,A97)</f>
        <v>0</v>
      </c>
      <c r="H97" s="4">
        <f>SUMIF(refunds!$G$2:$G$15,A97,refunds!$D$2:$D$15)</f>
        <v>0</v>
      </c>
      <c r="I97" s="4">
        <f>users[[#This Row],[paid_usd]]-users[[#This Row],[refunded_usd]]</f>
        <v>0</v>
      </c>
      <c r="J97" s="4">
        <f>IF(users[[#This Row],[successful_payments_count]]&gt;0,1,0)</f>
        <v>0</v>
      </c>
    </row>
    <row r="98" spans="1:10">
      <c r="A98">
        <v>97</v>
      </c>
      <c r="B98" s="3">
        <v>46054.8918518519</v>
      </c>
      <c r="C98" t="s">
        <v>16</v>
      </c>
      <c r="D98" t="s">
        <v>4</v>
      </c>
      <c r="E98">
        <v>1</v>
      </c>
      <c r="F98" s="4">
        <f>COUNTIFS(payments!$B$2:$B$203,A98,payments!$F$2:$F$203,"succeeded")</f>
        <v>0</v>
      </c>
      <c r="G98" s="4">
        <f>SUMIFS(payments!$G$2:$G$203,payments!$F$2:$F$203,"succeeded",payments!$B$2:$B$203,A98)</f>
        <v>0</v>
      </c>
      <c r="H98" s="4">
        <f>SUMIF(refunds!$G$2:$G$15,A98,refunds!$D$2:$D$15)</f>
        <v>0</v>
      </c>
      <c r="I98" s="4">
        <f>users[[#This Row],[paid_usd]]-users[[#This Row],[refunded_usd]]</f>
        <v>0</v>
      </c>
      <c r="J98" s="4">
        <f>IF(users[[#This Row],[successful_payments_count]]&gt;0,1,0)</f>
        <v>0</v>
      </c>
    </row>
    <row r="99" spans="1:10">
      <c r="A99">
        <v>98</v>
      </c>
      <c r="B99" s="3">
        <v>46184.4490509259</v>
      </c>
      <c r="C99" t="s">
        <v>18</v>
      </c>
      <c r="D99" t="s">
        <v>22</v>
      </c>
      <c r="E99">
        <v>7</v>
      </c>
      <c r="F99" s="4">
        <f>COUNTIFS(payments!$B$2:$B$203,A99,payments!$F$2:$F$203,"succeeded")</f>
        <v>0</v>
      </c>
      <c r="G99" s="4">
        <f>SUMIFS(payments!$G$2:$G$203,payments!$F$2:$F$203,"succeeded",payments!$B$2:$B$203,A99)</f>
        <v>0</v>
      </c>
      <c r="H99" s="4">
        <f>SUMIF(refunds!$G$2:$G$15,A99,refunds!$D$2:$D$15)</f>
        <v>0</v>
      </c>
      <c r="I99" s="4">
        <f>users[[#This Row],[paid_usd]]-users[[#This Row],[refunded_usd]]</f>
        <v>0</v>
      </c>
      <c r="J99" s="4">
        <f>IF(users[[#This Row],[successful_payments_count]]&gt;0,1,0)</f>
        <v>0</v>
      </c>
    </row>
    <row r="100" spans="1:10">
      <c r="A100">
        <v>99</v>
      </c>
      <c r="B100" s="3">
        <v>46104.4615162037</v>
      </c>
      <c r="C100" t="s">
        <v>18</v>
      </c>
      <c r="D100" t="s">
        <v>23</v>
      </c>
      <c r="E100">
        <v>7</v>
      </c>
      <c r="F100" s="4">
        <f>COUNTIFS(payments!$B$2:$B$203,A100,payments!$F$2:$F$203,"succeeded")</f>
        <v>1</v>
      </c>
      <c r="G100" s="4">
        <f>SUMIFS(payments!$G$2:$G$203,payments!$F$2:$F$203,"succeeded",payments!$B$2:$B$203,A100)</f>
        <v>9.99</v>
      </c>
      <c r="H100" s="4">
        <f>SUMIF(refunds!$G$2:$G$15,A100,refunds!$D$2:$D$15)</f>
        <v>0</v>
      </c>
      <c r="I100" s="4">
        <f>users[[#This Row],[paid_usd]]-users[[#This Row],[refunded_usd]]</f>
        <v>9.99</v>
      </c>
      <c r="J100" s="4">
        <f>IF(users[[#This Row],[successful_payments_count]]&gt;0,1,0)</f>
        <v>1</v>
      </c>
    </row>
    <row r="101" spans="1:10">
      <c r="A101">
        <v>100</v>
      </c>
      <c r="B101" s="3">
        <v>46107.4543634259</v>
      </c>
      <c r="C101" t="s">
        <v>19</v>
      </c>
      <c r="D101" t="s">
        <v>23</v>
      </c>
      <c r="E101">
        <v>7</v>
      </c>
      <c r="F101" s="4">
        <f>COUNTIFS(payments!$B$2:$B$203,A101,payments!$F$2:$F$203,"succeeded")</f>
        <v>0</v>
      </c>
      <c r="G101" s="4">
        <f>SUMIFS(payments!$G$2:$G$203,payments!$F$2:$F$203,"succeeded",payments!$B$2:$B$203,A101)</f>
        <v>0</v>
      </c>
      <c r="H101" s="4">
        <f>SUMIF(refunds!$G$2:$G$15,A101,refunds!$D$2:$D$15)</f>
        <v>0</v>
      </c>
      <c r="I101" s="4">
        <f>users[[#This Row],[paid_usd]]-users[[#This Row],[refunded_usd]]</f>
        <v>0</v>
      </c>
      <c r="J101" s="4">
        <f>IF(users[[#This Row],[successful_payments_count]]&gt;0,1,0)</f>
        <v>0</v>
      </c>
    </row>
    <row r="102" spans="1:10">
      <c r="A102">
        <v>101</v>
      </c>
      <c r="B102" s="3">
        <v>46145.536400463</v>
      </c>
      <c r="C102" t="s">
        <v>18</v>
      </c>
      <c r="D102" t="s">
        <v>4</v>
      </c>
      <c r="F102" s="4">
        <f>COUNTIFS(payments!$B$2:$B$203,A102,payments!$F$2:$F$203,"succeeded")</f>
        <v>0</v>
      </c>
      <c r="G102" s="4">
        <f>SUMIFS(payments!$G$2:$G$203,payments!$F$2:$F$203,"succeeded",payments!$B$2:$B$203,A102)</f>
        <v>0</v>
      </c>
      <c r="H102" s="4">
        <f>SUMIF(refunds!$G$2:$G$15,A102,refunds!$D$2:$D$15)</f>
        <v>0</v>
      </c>
      <c r="I102" s="4">
        <f>users[[#This Row],[paid_usd]]-users[[#This Row],[refunded_usd]]</f>
        <v>0</v>
      </c>
      <c r="J102" s="4">
        <f>IF(users[[#This Row],[successful_payments_count]]&gt;0,1,0)</f>
        <v>0</v>
      </c>
    </row>
    <row r="103" spans="1:10">
      <c r="A103">
        <v>102</v>
      </c>
      <c r="B103" s="3">
        <v>46027.8129861111</v>
      </c>
      <c r="C103" t="s">
        <v>19</v>
      </c>
      <c r="D103" t="s">
        <v>23</v>
      </c>
      <c r="E103">
        <v>1</v>
      </c>
      <c r="F103" s="4">
        <f>COUNTIFS(payments!$B$2:$B$203,A103,payments!$F$2:$F$203,"succeeded")</f>
        <v>0</v>
      </c>
      <c r="G103" s="4">
        <f>SUMIFS(payments!$G$2:$G$203,payments!$F$2:$F$203,"succeeded",payments!$B$2:$B$203,A103)</f>
        <v>0</v>
      </c>
      <c r="H103" s="4">
        <f>SUMIF(refunds!$G$2:$G$15,A103,refunds!$D$2:$D$15)</f>
        <v>0</v>
      </c>
      <c r="I103" s="4">
        <f>users[[#This Row],[paid_usd]]-users[[#This Row],[refunded_usd]]</f>
        <v>0</v>
      </c>
      <c r="J103" s="4">
        <f>IF(users[[#This Row],[successful_payments_count]]&gt;0,1,0)</f>
        <v>0</v>
      </c>
    </row>
    <row r="104" spans="1:10">
      <c r="A104">
        <v>103</v>
      </c>
      <c r="B104" s="3">
        <v>46092.4779166667</v>
      </c>
      <c r="C104" t="s">
        <v>16</v>
      </c>
      <c r="D104" t="s">
        <v>4</v>
      </c>
      <c r="F104" s="4">
        <f>COUNTIFS(payments!$B$2:$B$203,A104,payments!$F$2:$F$203,"succeeded")</f>
        <v>0</v>
      </c>
      <c r="G104" s="4">
        <f>SUMIFS(payments!$G$2:$G$203,payments!$F$2:$F$203,"succeeded",payments!$B$2:$B$203,A104)</f>
        <v>0</v>
      </c>
      <c r="H104" s="4">
        <f>SUMIF(refunds!$G$2:$G$15,A104,refunds!$D$2:$D$15)</f>
        <v>0</v>
      </c>
      <c r="I104" s="4">
        <f>users[[#This Row],[paid_usd]]-users[[#This Row],[refunded_usd]]</f>
        <v>0</v>
      </c>
      <c r="J104" s="4">
        <f>IF(users[[#This Row],[successful_payments_count]]&gt;0,1,0)</f>
        <v>0</v>
      </c>
    </row>
    <row r="105" spans="1:10">
      <c r="A105">
        <v>104</v>
      </c>
      <c r="B105" s="3">
        <v>46138.0002893519</v>
      </c>
      <c r="C105" t="s">
        <v>16</v>
      </c>
      <c r="D105" t="s">
        <v>22</v>
      </c>
      <c r="E105">
        <v>1</v>
      </c>
      <c r="F105" s="4">
        <f>COUNTIFS(payments!$B$2:$B$203,A105,payments!$F$2:$F$203,"succeeded")</f>
        <v>1</v>
      </c>
      <c r="G105" s="4">
        <f>SUMIFS(payments!$G$2:$G$203,payments!$F$2:$F$203,"succeeded",payments!$B$2:$B$203,A105)</f>
        <v>19.99</v>
      </c>
      <c r="H105" s="4">
        <f>SUMIF(refunds!$G$2:$G$15,A105,refunds!$D$2:$D$15)</f>
        <v>0</v>
      </c>
      <c r="I105" s="4">
        <f>users[[#This Row],[paid_usd]]-users[[#This Row],[refunded_usd]]</f>
        <v>19.99</v>
      </c>
      <c r="J105" s="4">
        <f>IF(users[[#This Row],[successful_payments_count]]&gt;0,1,0)</f>
        <v>1</v>
      </c>
    </row>
    <row r="106" spans="1:10">
      <c r="A106">
        <v>105</v>
      </c>
      <c r="B106" s="3">
        <v>46175.0431828704</v>
      </c>
      <c r="C106" t="s">
        <v>17</v>
      </c>
      <c r="D106" t="s">
        <v>23</v>
      </c>
      <c r="E106">
        <v>7</v>
      </c>
      <c r="F106" s="4">
        <f>COUNTIFS(payments!$B$2:$B$203,A106,payments!$F$2:$F$203,"succeeded")</f>
        <v>0</v>
      </c>
      <c r="G106" s="4">
        <f>SUMIFS(payments!$G$2:$G$203,payments!$F$2:$F$203,"succeeded",payments!$B$2:$B$203,A106)</f>
        <v>0</v>
      </c>
      <c r="H106" s="4">
        <f>SUMIF(refunds!$G$2:$G$15,A106,refunds!$D$2:$D$15)</f>
        <v>0</v>
      </c>
      <c r="I106" s="4">
        <f>users[[#This Row],[paid_usd]]-users[[#This Row],[refunded_usd]]</f>
        <v>0</v>
      </c>
      <c r="J106" s="4">
        <f>IF(users[[#This Row],[successful_payments_count]]&gt;0,1,0)</f>
        <v>0</v>
      </c>
    </row>
    <row r="107" spans="1:10">
      <c r="A107">
        <v>106</v>
      </c>
      <c r="B107" s="3">
        <v>46167.4832523148</v>
      </c>
      <c r="C107" t="s">
        <v>15</v>
      </c>
      <c r="D107" t="s">
        <v>4</v>
      </c>
      <c r="E107">
        <v>5</v>
      </c>
      <c r="F107" s="4">
        <f>COUNTIFS(payments!$B$2:$B$203,A107,payments!$F$2:$F$203,"succeeded")</f>
        <v>1</v>
      </c>
      <c r="G107" s="4">
        <f>SUMIFS(payments!$G$2:$G$203,payments!$F$2:$F$203,"succeeded",payments!$B$2:$B$203,A107)</f>
        <v>9.99</v>
      </c>
      <c r="H107" s="4">
        <f>SUMIF(refunds!$G$2:$G$15,A107,refunds!$D$2:$D$15)</f>
        <v>0</v>
      </c>
      <c r="I107" s="4">
        <f>users[[#This Row],[paid_usd]]-users[[#This Row],[refunded_usd]]</f>
        <v>9.99</v>
      </c>
      <c r="J107" s="4">
        <f>IF(users[[#This Row],[successful_payments_count]]&gt;0,1,0)</f>
        <v>1</v>
      </c>
    </row>
    <row r="108" spans="1:10">
      <c r="A108">
        <v>107</v>
      </c>
      <c r="B108" s="3">
        <v>46066.1587037037</v>
      </c>
      <c r="C108" t="s">
        <v>14</v>
      </c>
      <c r="D108" t="s">
        <v>23</v>
      </c>
      <c r="E108">
        <v>5</v>
      </c>
      <c r="F108" s="4">
        <f>COUNTIFS(payments!$B$2:$B$203,A108,payments!$F$2:$F$203,"succeeded")</f>
        <v>1</v>
      </c>
      <c r="G108" s="4">
        <f>SUMIFS(payments!$G$2:$G$203,payments!$F$2:$F$203,"succeeded",payments!$B$2:$B$203,A108)</f>
        <v>19.99</v>
      </c>
      <c r="H108" s="4">
        <f>SUMIF(refunds!$G$2:$G$15,A108,refunds!$D$2:$D$15)</f>
        <v>0</v>
      </c>
      <c r="I108" s="4">
        <f>users[[#This Row],[paid_usd]]-users[[#This Row],[refunded_usd]]</f>
        <v>19.99</v>
      </c>
      <c r="J108" s="4">
        <f>IF(users[[#This Row],[successful_payments_count]]&gt;0,1,0)</f>
        <v>1</v>
      </c>
    </row>
    <row r="109" spans="1:10">
      <c r="A109">
        <v>108</v>
      </c>
      <c r="B109" s="3">
        <v>46118.0659490741</v>
      </c>
      <c r="C109" t="s">
        <v>16</v>
      </c>
      <c r="D109" t="s">
        <v>23</v>
      </c>
      <c r="E109">
        <v>4</v>
      </c>
      <c r="F109" s="4">
        <f>COUNTIFS(payments!$B$2:$B$203,A109,payments!$F$2:$F$203,"succeeded")</f>
        <v>0</v>
      </c>
      <c r="G109" s="4">
        <f>SUMIFS(payments!$G$2:$G$203,payments!$F$2:$F$203,"succeeded",payments!$B$2:$B$203,A109)</f>
        <v>0</v>
      </c>
      <c r="H109" s="4">
        <f>SUMIF(refunds!$G$2:$G$15,A109,refunds!$D$2:$D$15)</f>
        <v>0</v>
      </c>
      <c r="I109" s="4">
        <f>users[[#This Row],[paid_usd]]-users[[#This Row],[refunded_usd]]</f>
        <v>0</v>
      </c>
      <c r="J109" s="4">
        <f>IF(users[[#This Row],[successful_payments_count]]&gt;0,1,0)</f>
        <v>0</v>
      </c>
    </row>
    <row r="110" spans="1:10">
      <c r="A110">
        <v>109</v>
      </c>
      <c r="B110" s="3">
        <v>46122.3011805556</v>
      </c>
      <c r="C110" t="s">
        <v>16</v>
      </c>
      <c r="D110" t="s">
        <v>22</v>
      </c>
      <c r="F110" s="4">
        <f>COUNTIFS(payments!$B$2:$B$203,A110,payments!$F$2:$F$203,"succeeded")</f>
        <v>1</v>
      </c>
      <c r="G110" s="4">
        <f>SUMIFS(payments!$G$2:$G$203,payments!$F$2:$F$203,"succeeded",payments!$B$2:$B$203,A110)</f>
        <v>4.99</v>
      </c>
      <c r="H110" s="4">
        <f>SUMIF(refunds!$G$2:$G$15,A110,refunds!$D$2:$D$15)</f>
        <v>0</v>
      </c>
      <c r="I110" s="4">
        <f>users[[#This Row],[paid_usd]]-users[[#This Row],[refunded_usd]]</f>
        <v>4.99</v>
      </c>
      <c r="J110" s="4">
        <f>IF(users[[#This Row],[successful_payments_count]]&gt;0,1,0)</f>
        <v>1</v>
      </c>
    </row>
    <row r="111" spans="1:10">
      <c r="A111">
        <v>110</v>
      </c>
      <c r="B111" s="3">
        <v>46138.8482407407</v>
      </c>
      <c r="C111" t="s">
        <v>14</v>
      </c>
      <c r="D111" t="s">
        <v>22</v>
      </c>
      <c r="E111">
        <v>7</v>
      </c>
      <c r="F111" s="4">
        <f>COUNTIFS(payments!$B$2:$B$203,A111,payments!$F$2:$F$203,"succeeded")</f>
        <v>1</v>
      </c>
      <c r="G111" s="4">
        <f>SUMIFS(payments!$G$2:$G$203,payments!$F$2:$F$203,"succeeded",payments!$B$2:$B$203,A111)</f>
        <v>7.99</v>
      </c>
      <c r="H111" s="4">
        <f>SUMIF(refunds!$G$2:$G$15,A111,refunds!$D$2:$D$15)</f>
        <v>0</v>
      </c>
      <c r="I111" s="4">
        <f>users[[#This Row],[paid_usd]]-users[[#This Row],[refunded_usd]]</f>
        <v>7.99</v>
      </c>
      <c r="J111" s="4">
        <f>IF(users[[#This Row],[successful_payments_count]]&gt;0,1,0)</f>
        <v>1</v>
      </c>
    </row>
    <row r="112" spans="1:10">
      <c r="A112">
        <v>111</v>
      </c>
      <c r="B112" s="3">
        <v>46129.7650925926</v>
      </c>
      <c r="C112" t="s">
        <v>15</v>
      </c>
      <c r="D112" t="s">
        <v>4</v>
      </c>
      <c r="E112">
        <v>7</v>
      </c>
      <c r="F112" s="4">
        <f>COUNTIFS(payments!$B$2:$B$203,A112,payments!$F$2:$F$203,"succeeded")</f>
        <v>0</v>
      </c>
      <c r="G112" s="4">
        <f>SUMIFS(payments!$G$2:$G$203,payments!$F$2:$F$203,"succeeded",payments!$B$2:$B$203,A112)</f>
        <v>0</v>
      </c>
      <c r="H112" s="4">
        <f>SUMIF(refunds!$G$2:$G$15,A112,refunds!$D$2:$D$15)</f>
        <v>0</v>
      </c>
      <c r="I112" s="4">
        <f>users[[#This Row],[paid_usd]]-users[[#This Row],[refunded_usd]]</f>
        <v>0</v>
      </c>
      <c r="J112" s="4">
        <f>IF(users[[#This Row],[successful_payments_count]]&gt;0,1,0)</f>
        <v>0</v>
      </c>
    </row>
    <row r="113" spans="1:10">
      <c r="A113">
        <v>112</v>
      </c>
      <c r="B113" s="3">
        <v>46169.034537037</v>
      </c>
      <c r="C113" t="s">
        <v>18</v>
      </c>
      <c r="D113" t="s">
        <v>4</v>
      </c>
      <c r="E113">
        <v>7</v>
      </c>
      <c r="F113" s="4">
        <f>COUNTIFS(payments!$B$2:$B$203,A113,payments!$F$2:$F$203,"succeeded")</f>
        <v>0</v>
      </c>
      <c r="G113" s="4">
        <f>SUMIFS(payments!$G$2:$G$203,payments!$F$2:$F$203,"succeeded",payments!$B$2:$B$203,A113)</f>
        <v>0</v>
      </c>
      <c r="H113" s="4">
        <f>SUMIF(refunds!$G$2:$G$15,A113,refunds!$D$2:$D$15)</f>
        <v>0</v>
      </c>
      <c r="I113" s="4">
        <f>users[[#This Row],[paid_usd]]-users[[#This Row],[refunded_usd]]</f>
        <v>0</v>
      </c>
      <c r="J113" s="4">
        <f>IF(users[[#This Row],[successful_payments_count]]&gt;0,1,0)</f>
        <v>0</v>
      </c>
    </row>
    <row r="114" spans="1:10">
      <c r="A114">
        <v>113</v>
      </c>
      <c r="B114" s="3">
        <v>46158.1189236111</v>
      </c>
      <c r="C114" t="s">
        <v>19</v>
      </c>
      <c r="D114" t="s">
        <v>4</v>
      </c>
      <c r="E114">
        <v>4</v>
      </c>
      <c r="F114" s="4">
        <f>COUNTIFS(payments!$B$2:$B$203,A114,payments!$F$2:$F$203,"succeeded")</f>
        <v>0</v>
      </c>
      <c r="G114" s="4">
        <f>SUMIFS(payments!$G$2:$G$203,payments!$F$2:$F$203,"succeeded",payments!$B$2:$B$203,A114)</f>
        <v>0</v>
      </c>
      <c r="H114" s="4">
        <f>SUMIF(refunds!$G$2:$G$15,A114,refunds!$D$2:$D$15)</f>
        <v>0</v>
      </c>
      <c r="I114" s="4">
        <f>users[[#This Row],[paid_usd]]-users[[#This Row],[refunded_usd]]</f>
        <v>0</v>
      </c>
      <c r="J114" s="4">
        <f>IF(users[[#This Row],[successful_payments_count]]&gt;0,1,0)</f>
        <v>0</v>
      </c>
    </row>
    <row r="115" spans="1:10">
      <c r="A115">
        <v>114</v>
      </c>
      <c r="B115" s="3">
        <v>46155.7493402778</v>
      </c>
      <c r="C115" t="s">
        <v>16</v>
      </c>
      <c r="D115" t="s">
        <v>23</v>
      </c>
      <c r="E115">
        <v>4</v>
      </c>
      <c r="F115" s="4">
        <f>COUNTIFS(payments!$B$2:$B$203,A115,payments!$F$2:$F$203,"succeeded")</f>
        <v>0</v>
      </c>
      <c r="G115" s="4">
        <f>SUMIFS(payments!$G$2:$G$203,payments!$F$2:$F$203,"succeeded",payments!$B$2:$B$203,A115)</f>
        <v>0</v>
      </c>
      <c r="H115" s="4">
        <f>SUMIF(refunds!$G$2:$G$15,A115,refunds!$D$2:$D$15)</f>
        <v>0</v>
      </c>
      <c r="I115" s="4">
        <f>users[[#This Row],[paid_usd]]-users[[#This Row],[refunded_usd]]</f>
        <v>0</v>
      </c>
      <c r="J115" s="4">
        <f>IF(users[[#This Row],[successful_payments_count]]&gt;0,1,0)</f>
        <v>0</v>
      </c>
    </row>
    <row r="116" spans="1:10">
      <c r="A116">
        <v>115</v>
      </c>
      <c r="B116" s="3">
        <v>46162.4338773148</v>
      </c>
      <c r="C116" t="s">
        <v>18</v>
      </c>
      <c r="D116" t="s">
        <v>23</v>
      </c>
      <c r="E116">
        <v>6</v>
      </c>
      <c r="F116" s="4">
        <f>COUNTIFS(payments!$B$2:$B$203,A116,payments!$F$2:$F$203,"succeeded")</f>
        <v>1</v>
      </c>
      <c r="G116" s="4">
        <f>SUMIFS(payments!$G$2:$G$203,payments!$F$2:$F$203,"succeeded",payments!$B$2:$B$203,A116)</f>
        <v>9.99</v>
      </c>
      <c r="H116" s="4">
        <f>SUMIF(refunds!$G$2:$G$15,A116,refunds!$D$2:$D$15)</f>
        <v>0</v>
      </c>
      <c r="I116" s="4">
        <f>users[[#This Row],[paid_usd]]-users[[#This Row],[refunded_usd]]</f>
        <v>9.99</v>
      </c>
      <c r="J116" s="4">
        <f>IF(users[[#This Row],[successful_payments_count]]&gt;0,1,0)</f>
        <v>1</v>
      </c>
    </row>
    <row r="117" spans="1:10">
      <c r="A117">
        <v>116</v>
      </c>
      <c r="B117" s="3">
        <v>46029.5827199074</v>
      </c>
      <c r="C117" t="s">
        <v>19</v>
      </c>
      <c r="D117" t="s">
        <v>4</v>
      </c>
      <c r="E117">
        <v>3</v>
      </c>
      <c r="F117" s="4">
        <f>COUNTIFS(payments!$B$2:$B$203,A117,payments!$F$2:$F$203,"succeeded")</f>
        <v>0</v>
      </c>
      <c r="G117" s="4">
        <f>SUMIFS(payments!$G$2:$G$203,payments!$F$2:$F$203,"succeeded",payments!$B$2:$B$203,A117)</f>
        <v>0</v>
      </c>
      <c r="H117" s="4">
        <f>SUMIF(refunds!$G$2:$G$15,A117,refunds!$D$2:$D$15)</f>
        <v>0</v>
      </c>
      <c r="I117" s="4">
        <f>users[[#This Row],[paid_usd]]-users[[#This Row],[refunded_usd]]</f>
        <v>0</v>
      </c>
      <c r="J117" s="4">
        <f>IF(users[[#This Row],[successful_payments_count]]&gt;0,1,0)</f>
        <v>0</v>
      </c>
    </row>
    <row r="118" spans="1:10">
      <c r="A118">
        <v>117</v>
      </c>
      <c r="B118" s="3">
        <v>46090.5572106481</v>
      </c>
      <c r="C118" t="s">
        <v>16</v>
      </c>
      <c r="D118" t="s">
        <v>22</v>
      </c>
      <c r="E118">
        <v>1</v>
      </c>
      <c r="F118" s="4">
        <f>COUNTIFS(payments!$B$2:$B$203,A118,payments!$F$2:$F$203,"succeeded")</f>
        <v>1</v>
      </c>
      <c r="G118" s="4">
        <f>SUMIFS(payments!$G$2:$G$203,payments!$F$2:$F$203,"succeeded",payments!$B$2:$B$203,A118)</f>
        <v>9.99</v>
      </c>
      <c r="H118" s="4">
        <f>SUMIF(refunds!$G$2:$G$15,A118,refunds!$D$2:$D$15)</f>
        <v>0</v>
      </c>
      <c r="I118" s="4">
        <f>users[[#This Row],[paid_usd]]-users[[#This Row],[refunded_usd]]</f>
        <v>9.99</v>
      </c>
      <c r="J118" s="4">
        <f>IF(users[[#This Row],[successful_payments_count]]&gt;0,1,0)</f>
        <v>1</v>
      </c>
    </row>
    <row r="119" spans="1:10">
      <c r="A119">
        <v>118</v>
      </c>
      <c r="B119" s="3">
        <v>46056.5282638889</v>
      </c>
      <c r="C119" t="s">
        <v>19</v>
      </c>
      <c r="D119" t="s">
        <v>4</v>
      </c>
      <c r="F119" s="4">
        <f>COUNTIFS(payments!$B$2:$B$203,A119,payments!$F$2:$F$203,"succeeded")</f>
        <v>1</v>
      </c>
      <c r="G119" s="4">
        <f>SUMIFS(payments!$G$2:$G$203,payments!$F$2:$F$203,"succeeded",payments!$B$2:$B$203,A119)</f>
        <v>9.99</v>
      </c>
      <c r="H119" s="4">
        <f>SUMIF(refunds!$G$2:$G$15,A119,refunds!$D$2:$D$15)</f>
        <v>0</v>
      </c>
      <c r="I119" s="4">
        <f>users[[#This Row],[paid_usd]]-users[[#This Row],[refunded_usd]]</f>
        <v>9.99</v>
      </c>
      <c r="J119" s="4">
        <f>IF(users[[#This Row],[successful_payments_count]]&gt;0,1,0)</f>
        <v>1</v>
      </c>
    </row>
    <row r="120" spans="1:10">
      <c r="A120">
        <v>119</v>
      </c>
      <c r="B120" s="3">
        <v>46155.8950694444</v>
      </c>
      <c r="C120" t="s">
        <v>14</v>
      </c>
      <c r="D120" t="s">
        <v>4</v>
      </c>
      <c r="E120">
        <v>1</v>
      </c>
      <c r="F120" s="4">
        <f>COUNTIFS(payments!$B$2:$B$203,A120,payments!$F$2:$F$203,"succeeded")</f>
        <v>0</v>
      </c>
      <c r="G120" s="4">
        <f>SUMIFS(payments!$G$2:$G$203,payments!$F$2:$F$203,"succeeded",payments!$B$2:$B$203,A120)</f>
        <v>0</v>
      </c>
      <c r="H120" s="4">
        <f>SUMIF(refunds!$G$2:$G$15,A120,refunds!$D$2:$D$15)</f>
        <v>0</v>
      </c>
      <c r="I120" s="4">
        <f>users[[#This Row],[paid_usd]]-users[[#This Row],[refunded_usd]]</f>
        <v>0</v>
      </c>
      <c r="J120" s="4">
        <f>IF(users[[#This Row],[successful_payments_count]]&gt;0,1,0)</f>
        <v>0</v>
      </c>
    </row>
    <row r="121" spans="1:10">
      <c r="A121">
        <v>120</v>
      </c>
      <c r="B121" s="3">
        <v>46173.0592361111</v>
      </c>
      <c r="C121" t="s">
        <v>15</v>
      </c>
      <c r="D121" t="s">
        <v>23</v>
      </c>
      <c r="E121">
        <v>3</v>
      </c>
      <c r="F121" s="4">
        <f>COUNTIFS(payments!$B$2:$B$203,A121,payments!$F$2:$F$203,"succeeded")</f>
        <v>0</v>
      </c>
      <c r="G121" s="4">
        <f>SUMIFS(payments!$G$2:$G$203,payments!$F$2:$F$203,"succeeded",payments!$B$2:$B$203,A121)</f>
        <v>0</v>
      </c>
      <c r="H121" s="4">
        <f>SUMIF(refunds!$G$2:$G$15,A121,refunds!$D$2:$D$15)</f>
        <v>0</v>
      </c>
      <c r="I121" s="4">
        <f>users[[#This Row],[paid_usd]]-users[[#This Row],[refunded_usd]]</f>
        <v>0</v>
      </c>
      <c r="J121" s="4">
        <f>IF(users[[#This Row],[successful_payments_count]]&gt;0,1,0)</f>
        <v>0</v>
      </c>
    </row>
    <row r="122" spans="1:10">
      <c r="A122">
        <v>121</v>
      </c>
      <c r="B122" s="3">
        <v>46077.3762731481</v>
      </c>
      <c r="C122" t="s">
        <v>18</v>
      </c>
      <c r="D122" t="s">
        <v>23</v>
      </c>
      <c r="E122">
        <v>2</v>
      </c>
      <c r="F122" s="4">
        <f>COUNTIFS(payments!$B$2:$B$203,A122,payments!$F$2:$F$203,"succeeded")</f>
        <v>0</v>
      </c>
      <c r="G122" s="4">
        <f>SUMIFS(payments!$G$2:$G$203,payments!$F$2:$F$203,"succeeded",payments!$B$2:$B$203,A122)</f>
        <v>0</v>
      </c>
      <c r="H122" s="4">
        <f>SUMIF(refunds!$G$2:$G$15,A122,refunds!$D$2:$D$15)</f>
        <v>0</v>
      </c>
      <c r="I122" s="4">
        <f>users[[#This Row],[paid_usd]]-users[[#This Row],[refunded_usd]]</f>
        <v>0</v>
      </c>
      <c r="J122" s="4">
        <f>IF(users[[#This Row],[successful_payments_count]]&gt;0,1,0)</f>
        <v>0</v>
      </c>
    </row>
    <row r="123" spans="1:10">
      <c r="A123">
        <v>122</v>
      </c>
      <c r="B123" s="3">
        <v>46141.0737962963</v>
      </c>
      <c r="C123" t="s">
        <v>19</v>
      </c>
      <c r="D123" t="s">
        <v>4</v>
      </c>
      <c r="E123">
        <v>3</v>
      </c>
      <c r="F123" s="4">
        <f>COUNTIFS(payments!$B$2:$B$203,A123,payments!$F$2:$F$203,"succeeded")</f>
        <v>0</v>
      </c>
      <c r="G123" s="4">
        <f>SUMIFS(payments!$G$2:$G$203,payments!$F$2:$F$203,"succeeded",payments!$B$2:$B$203,A123)</f>
        <v>0</v>
      </c>
      <c r="H123" s="4">
        <f>SUMIF(refunds!$G$2:$G$15,A123,refunds!$D$2:$D$15)</f>
        <v>0</v>
      </c>
      <c r="I123" s="4">
        <f>users[[#This Row],[paid_usd]]-users[[#This Row],[refunded_usd]]</f>
        <v>0</v>
      </c>
      <c r="J123" s="4">
        <f>IF(users[[#This Row],[successful_payments_count]]&gt;0,1,0)</f>
        <v>0</v>
      </c>
    </row>
    <row r="124" spans="1:10">
      <c r="A124">
        <v>123</v>
      </c>
      <c r="B124" s="3">
        <v>46152.967962963</v>
      </c>
      <c r="C124" t="s">
        <v>14</v>
      </c>
      <c r="D124" t="s">
        <v>4</v>
      </c>
      <c r="E124">
        <v>6</v>
      </c>
      <c r="F124" s="4">
        <f>COUNTIFS(payments!$B$2:$B$203,A124,payments!$F$2:$F$203,"succeeded")</f>
        <v>1</v>
      </c>
      <c r="G124" s="4">
        <f>SUMIFS(payments!$G$2:$G$203,payments!$F$2:$F$203,"succeeded",payments!$B$2:$B$203,A124)</f>
        <v>3.99</v>
      </c>
      <c r="H124" s="4">
        <f>SUMIF(refunds!$G$2:$G$15,A124,refunds!$D$2:$D$15)</f>
        <v>0</v>
      </c>
      <c r="I124" s="4">
        <f>users[[#This Row],[paid_usd]]-users[[#This Row],[refunded_usd]]</f>
        <v>3.99</v>
      </c>
      <c r="J124" s="4">
        <f>IF(users[[#This Row],[successful_payments_count]]&gt;0,1,0)</f>
        <v>1</v>
      </c>
    </row>
    <row r="125" spans="1:10">
      <c r="A125">
        <v>124</v>
      </c>
      <c r="B125" s="3">
        <v>46126.5591550926</v>
      </c>
      <c r="C125" t="s">
        <v>19</v>
      </c>
      <c r="D125" t="s">
        <v>4</v>
      </c>
      <c r="F125" s="4">
        <f>COUNTIFS(payments!$B$2:$B$203,A125,payments!$F$2:$F$203,"succeeded")</f>
        <v>0</v>
      </c>
      <c r="G125" s="4">
        <f>SUMIFS(payments!$G$2:$G$203,payments!$F$2:$F$203,"succeeded",payments!$B$2:$B$203,A125)</f>
        <v>0</v>
      </c>
      <c r="H125" s="4">
        <f>SUMIF(refunds!$G$2:$G$15,A125,refunds!$D$2:$D$15)</f>
        <v>0</v>
      </c>
      <c r="I125" s="4">
        <f>users[[#This Row],[paid_usd]]-users[[#This Row],[refunded_usd]]</f>
        <v>0</v>
      </c>
      <c r="J125" s="4">
        <f>IF(users[[#This Row],[successful_payments_count]]&gt;0,1,0)</f>
        <v>0</v>
      </c>
    </row>
    <row r="126" spans="1:10">
      <c r="A126">
        <v>125</v>
      </c>
      <c r="B126" s="3">
        <v>46178.4309606481</v>
      </c>
      <c r="C126" t="s">
        <v>18</v>
      </c>
      <c r="D126" t="s">
        <v>4</v>
      </c>
      <c r="E126">
        <v>5</v>
      </c>
      <c r="F126" s="4">
        <f>COUNTIFS(payments!$B$2:$B$203,A126,payments!$F$2:$F$203,"succeeded")</f>
        <v>0</v>
      </c>
      <c r="G126" s="4">
        <f>SUMIFS(payments!$G$2:$G$203,payments!$F$2:$F$203,"succeeded",payments!$B$2:$B$203,A126)</f>
        <v>0</v>
      </c>
      <c r="H126" s="4">
        <f>SUMIF(refunds!$G$2:$G$15,A126,refunds!$D$2:$D$15)</f>
        <v>0</v>
      </c>
      <c r="I126" s="4">
        <f>users[[#This Row],[paid_usd]]-users[[#This Row],[refunded_usd]]</f>
        <v>0</v>
      </c>
      <c r="J126" s="4">
        <f>IF(users[[#This Row],[successful_payments_count]]&gt;0,1,0)</f>
        <v>0</v>
      </c>
    </row>
    <row r="127" spans="1:10">
      <c r="A127">
        <v>126</v>
      </c>
      <c r="B127" s="3">
        <v>46081.725</v>
      </c>
      <c r="C127" t="s">
        <v>16</v>
      </c>
      <c r="D127" t="s">
        <v>22</v>
      </c>
      <c r="F127" s="4">
        <f>COUNTIFS(payments!$B$2:$B$203,A127,payments!$F$2:$F$203,"succeeded")</f>
        <v>1</v>
      </c>
      <c r="G127" s="4">
        <f>SUMIFS(payments!$G$2:$G$203,payments!$F$2:$F$203,"succeeded",payments!$B$2:$B$203,A127)</f>
        <v>19.99</v>
      </c>
      <c r="H127" s="4">
        <f>SUMIF(refunds!$G$2:$G$15,A127,refunds!$D$2:$D$15)</f>
        <v>0</v>
      </c>
      <c r="I127" s="4">
        <f>users[[#This Row],[paid_usd]]-users[[#This Row],[refunded_usd]]</f>
        <v>19.99</v>
      </c>
      <c r="J127" s="4">
        <f>IF(users[[#This Row],[successful_payments_count]]&gt;0,1,0)</f>
        <v>1</v>
      </c>
    </row>
    <row r="128" spans="1:10">
      <c r="A128">
        <v>127</v>
      </c>
      <c r="B128" s="3">
        <v>46091.6164236111</v>
      </c>
      <c r="C128" t="s">
        <v>17</v>
      </c>
      <c r="D128" t="s">
        <v>22</v>
      </c>
      <c r="E128">
        <v>6</v>
      </c>
      <c r="F128" s="4">
        <f>COUNTIFS(payments!$B$2:$B$203,A128,payments!$F$2:$F$203,"succeeded")</f>
        <v>0</v>
      </c>
      <c r="G128" s="4">
        <f>SUMIFS(payments!$G$2:$G$203,payments!$F$2:$F$203,"succeeded",payments!$B$2:$B$203,A128)</f>
        <v>0</v>
      </c>
      <c r="H128" s="4">
        <f>SUMIF(refunds!$G$2:$G$15,A128,refunds!$D$2:$D$15)</f>
        <v>0</v>
      </c>
      <c r="I128" s="4">
        <f>users[[#This Row],[paid_usd]]-users[[#This Row],[refunded_usd]]</f>
        <v>0</v>
      </c>
      <c r="J128" s="4">
        <f>IF(users[[#This Row],[successful_payments_count]]&gt;0,1,0)</f>
        <v>0</v>
      </c>
    </row>
    <row r="129" spans="1:10">
      <c r="A129">
        <v>128</v>
      </c>
      <c r="B129" s="3">
        <v>46130.9579050926</v>
      </c>
      <c r="C129" t="s">
        <v>14</v>
      </c>
      <c r="D129" t="s">
        <v>4</v>
      </c>
      <c r="E129">
        <v>6</v>
      </c>
      <c r="F129" s="4">
        <f>COUNTIFS(payments!$B$2:$B$203,A129,payments!$F$2:$F$203,"succeeded")</f>
        <v>0</v>
      </c>
      <c r="G129" s="4">
        <f>SUMIFS(payments!$G$2:$G$203,payments!$F$2:$F$203,"succeeded",payments!$B$2:$B$203,A129)</f>
        <v>0</v>
      </c>
      <c r="H129" s="4">
        <f>SUMIF(refunds!$G$2:$G$15,A129,refunds!$D$2:$D$15)</f>
        <v>0</v>
      </c>
      <c r="I129" s="4">
        <f>users[[#This Row],[paid_usd]]-users[[#This Row],[refunded_usd]]</f>
        <v>0</v>
      </c>
      <c r="J129" s="4">
        <f>IF(users[[#This Row],[successful_payments_count]]&gt;0,1,0)</f>
        <v>0</v>
      </c>
    </row>
    <row r="130" spans="1:10">
      <c r="A130">
        <v>129</v>
      </c>
      <c r="B130" s="3">
        <v>46047.0745138889</v>
      </c>
      <c r="C130" t="s">
        <v>18</v>
      </c>
      <c r="D130" t="s">
        <v>4</v>
      </c>
      <c r="E130">
        <v>4</v>
      </c>
      <c r="F130" s="4">
        <f>COUNTIFS(payments!$B$2:$B$203,A130,payments!$F$2:$F$203,"succeeded")</f>
        <v>0</v>
      </c>
      <c r="G130" s="4">
        <f>SUMIFS(payments!$G$2:$G$203,payments!$F$2:$F$203,"succeeded",payments!$B$2:$B$203,A130)</f>
        <v>0</v>
      </c>
      <c r="H130" s="4">
        <f>SUMIF(refunds!$G$2:$G$15,A130,refunds!$D$2:$D$15)</f>
        <v>0</v>
      </c>
      <c r="I130" s="4">
        <f>users[[#This Row],[paid_usd]]-users[[#This Row],[refunded_usd]]</f>
        <v>0</v>
      </c>
      <c r="J130" s="4">
        <f>IF(users[[#This Row],[successful_payments_count]]&gt;0,1,0)</f>
        <v>0</v>
      </c>
    </row>
    <row r="131" spans="1:10">
      <c r="A131">
        <v>130</v>
      </c>
      <c r="B131" s="3">
        <v>46164.2809837963</v>
      </c>
      <c r="C131" t="s">
        <v>15</v>
      </c>
      <c r="D131" t="s">
        <v>23</v>
      </c>
      <c r="E131">
        <v>5</v>
      </c>
      <c r="F131" s="4">
        <f>COUNTIFS(payments!$B$2:$B$203,A131,payments!$F$2:$F$203,"succeeded")</f>
        <v>0</v>
      </c>
      <c r="G131" s="4">
        <f>SUMIFS(payments!$G$2:$G$203,payments!$F$2:$F$203,"succeeded",payments!$B$2:$B$203,A131)</f>
        <v>0</v>
      </c>
      <c r="H131" s="4">
        <f>SUMIF(refunds!$G$2:$G$15,A131,refunds!$D$2:$D$15)</f>
        <v>0</v>
      </c>
      <c r="I131" s="4">
        <f>users[[#This Row],[paid_usd]]-users[[#This Row],[refunded_usd]]</f>
        <v>0</v>
      </c>
      <c r="J131" s="4">
        <f>IF(users[[#This Row],[successful_payments_count]]&gt;0,1,0)</f>
        <v>0</v>
      </c>
    </row>
    <row r="132" spans="1:10">
      <c r="A132">
        <v>131</v>
      </c>
      <c r="B132" s="3">
        <v>46115.2733449074</v>
      </c>
      <c r="C132" t="s">
        <v>16</v>
      </c>
      <c r="D132" t="s">
        <v>22</v>
      </c>
      <c r="E132">
        <v>7</v>
      </c>
      <c r="F132" s="4">
        <f>COUNTIFS(payments!$B$2:$B$203,A132,payments!$F$2:$F$203,"succeeded")</f>
        <v>0</v>
      </c>
      <c r="G132" s="4">
        <f>SUMIFS(payments!$G$2:$G$203,payments!$F$2:$F$203,"succeeded",payments!$B$2:$B$203,A132)</f>
        <v>0</v>
      </c>
      <c r="H132" s="4">
        <f>SUMIF(refunds!$G$2:$G$15,A132,refunds!$D$2:$D$15)</f>
        <v>0</v>
      </c>
      <c r="I132" s="4">
        <f>users[[#This Row],[paid_usd]]-users[[#This Row],[refunded_usd]]</f>
        <v>0</v>
      </c>
      <c r="J132" s="4">
        <f>IF(users[[#This Row],[successful_payments_count]]&gt;0,1,0)</f>
        <v>0</v>
      </c>
    </row>
    <row r="133" spans="1:10">
      <c r="A133">
        <v>132</v>
      </c>
      <c r="B133" s="3">
        <v>46037.2852546296</v>
      </c>
      <c r="C133" t="s">
        <v>19</v>
      </c>
      <c r="D133" t="s">
        <v>22</v>
      </c>
      <c r="E133">
        <v>4</v>
      </c>
      <c r="F133" s="4">
        <f>COUNTIFS(payments!$B$2:$B$203,A133,payments!$F$2:$F$203,"succeeded")</f>
        <v>0</v>
      </c>
      <c r="G133" s="4">
        <f>SUMIFS(payments!$G$2:$G$203,payments!$F$2:$F$203,"succeeded",payments!$B$2:$B$203,A133)</f>
        <v>0</v>
      </c>
      <c r="H133" s="4">
        <f>SUMIF(refunds!$G$2:$G$15,A133,refunds!$D$2:$D$15)</f>
        <v>0</v>
      </c>
      <c r="I133" s="4">
        <f>users[[#This Row],[paid_usd]]-users[[#This Row],[refunded_usd]]</f>
        <v>0</v>
      </c>
      <c r="J133" s="4">
        <f>IF(users[[#This Row],[successful_payments_count]]&gt;0,1,0)</f>
        <v>0</v>
      </c>
    </row>
    <row r="134" spans="1:10">
      <c r="A134">
        <v>133</v>
      </c>
      <c r="B134" s="3">
        <v>46026.4837731481</v>
      </c>
      <c r="C134" t="s">
        <v>17</v>
      </c>
      <c r="D134" t="s">
        <v>23</v>
      </c>
      <c r="E134">
        <v>7</v>
      </c>
      <c r="F134" s="4">
        <f>COUNTIFS(payments!$B$2:$B$203,A134,payments!$F$2:$F$203,"succeeded")</f>
        <v>0</v>
      </c>
      <c r="G134" s="4">
        <f>SUMIFS(payments!$G$2:$G$203,payments!$F$2:$F$203,"succeeded",payments!$B$2:$B$203,A134)</f>
        <v>0</v>
      </c>
      <c r="H134" s="4">
        <f>SUMIF(refunds!$G$2:$G$15,A134,refunds!$D$2:$D$15)</f>
        <v>0</v>
      </c>
      <c r="I134" s="4">
        <f>users[[#This Row],[paid_usd]]-users[[#This Row],[refunded_usd]]</f>
        <v>0</v>
      </c>
      <c r="J134" s="4">
        <f>IF(users[[#This Row],[successful_payments_count]]&gt;0,1,0)</f>
        <v>0</v>
      </c>
    </row>
    <row r="135" spans="1:10">
      <c r="A135">
        <v>134</v>
      </c>
      <c r="B135" s="3">
        <v>46050.8158912037</v>
      </c>
      <c r="C135" t="s">
        <v>15</v>
      </c>
      <c r="D135" t="s">
        <v>4</v>
      </c>
      <c r="E135">
        <v>3</v>
      </c>
      <c r="F135" s="4">
        <f>COUNTIFS(payments!$B$2:$B$203,A135,payments!$F$2:$F$203,"succeeded")</f>
        <v>0</v>
      </c>
      <c r="G135" s="4">
        <f>SUMIFS(payments!$G$2:$G$203,payments!$F$2:$F$203,"succeeded",payments!$B$2:$B$203,A135)</f>
        <v>0</v>
      </c>
      <c r="H135" s="4">
        <f>SUMIF(refunds!$G$2:$G$15,A135,refunds!$D$2:$D$15)</f>
        <v>0</v>
      </c>
      <c r="I135" s="4">
        <f>users[[#This Row],[paid_usd]]-users[[#This Row],[refunded_usd]]</f>
        <v>0</v>
      </c>
      <c r="J135" s="4">
        <f>IF(users[[#This Row],[successful_payments_count]]&gt;0,1,0)</f>
        <v>0</v>
      </c>
    </row>
    <row r="136" spans="1:10">
      <c r="A136">
        <v>135</v>
      </c>
      <c r="B136" s="3">
        <v>46141.8991782407</v>
      </c>
      <c r="C136" t="s">
        <v>15</v>
      </c>
      <c r="D136" t="s">
        <v>23</v>
      </c>
      <c r="E136">
        <v>1</v>
      </c>
      <c r="F136" s="4">
        <f>COUNTIFS(payments!$B$2:$B$203,A136,payments!$F$2:$F$203,"succeeded")</f>
        <v>1</v>
      </c>
      <c r="G136" s="4">
        <f>SUMIFS(payments!$G$2:$G$203,payments!$F$2:$F$203,"succeeded",payments!$B$2:$B$203,A136)</f>
        <v>19.99</v>
      </c>
      <c r="H136" s="4">
        <f>SUMIF(refunds!$G$2:$G$15,A136,refunds!$D$2:$D$15)</f>
        <v>0</v>
      </c>
      <c r="I136" s="4">
        <f>users[[#This Row],[paid_usd]]-users[[#This Row],[refunded_usd]]</f>
        <v>19.99</v>
      </c>
      <c r="J136" s="4">
        <f>IF(users[[#This Row],[successful_payments_count]]&gt;0,1,0)</f>
        <v>1</v>
      </c>
    </row>
    <row r="137" spans="1:10">
      <c r="A137">
        <v>136</v>
      </c>
      <c r="B137" s="3">
        <v>46181.268287037</v>
      </c>
      <c r="C137" t="s">
        <v>19</v>
      </c>
      <c r="D137" t="s">
        <v>4</v>
      </c>
      <c r="E137">
        <v>3</v>
      </c>
      <c r="F137" s="4">
        <f>COUNTIFS(payments!$B$2:$B$203,A137,payments!$F$2:$F$203,"succeeded")</f>
        <v>0</v>
      </c>
      <c r="G137" s="4">
        <f>SUMIFS(payments!$G$2:$G$203,payments!$F$2:$F$203,"succeeded",payments!$B$2:$B$203,A137)</f>
        <v>0</v>
      </c>
      <c r="H137" s="4">
        <f>SUMIF(refunds!$G$2:$G$15,A137,refunds!$D$2:$D$15)</f>
        <v>0</v>
      </c>
      <c r="I137" s="4">
        <f>users[[#This Row],[paid_usd]]-users[[#This Row],[refunded_usd]]</f>
        <v>0</v>
      </c>
      <c r="J137" s="4">
        <f>IF(users[[#This Row],[successful_payments_count]]&gt;0,1,0)</f>
        <v>0</v>
      </c>
    </row>
    <row r="138" spans="1:10">
      <c r="A138">
        <v>137</v>
      </c>
      <c r="B138" s="3">
        <v>46027.9092824074</v>
      </c>
      <c r="C138" t="s">
        <v>19</v>
      </c>
      <c r="D138" t="s">
        <v>23</v>
      </c>
      <c r="E138">
        <v>1</v>
      </c>
      <c r="F138" s="4">
        <f>COUNTIFS(payments!$B$2:$B$203,A138,payments!$F$2:$F$203,"succeeded")</f>
        <v>0</v>
      </c>
      <c r="G138" s="4">
        <f>SUMIFS(payments!$G$2:$G$203,payments!$F$2:$F$203,"succeeded",payments!$B$2:$B$203,A138)</f>
        <v>0</v>
      </c>
      <c r="H138" s="4">
        <f>SUMIF(refunds!$G$2:$G$15,A138,refunds!$D$2:$D$15)</f>
        <v>0</v>
      </c>
      <c r="I138" s="4">
        <f>users[[#This Row],[paid_usd]]-users[[#This Row],[refunded_usd]]</f>
        <v>0</v>
      </c>
      <c r="J138" s="4">
        <f>IF(users[[#This Row],[successful_payments_count]]&gt;0,1,0)</f>
        <v>0</v>
      </c>
    </row>
    <row r="139" spans="1:10">
      <c r="A139">
        <v>138</v>
      </c>
      <c r="B139" s="3">
        <v>46141.9834837963</v>
      </c>
      <c r="C139" t="s">
        <v>18</v>
      </c>
      <c r="D139" t="s">
        <v>4</v>
      </c>
      <c r="E139">
        <v>3</v>
      </c>
      <c r="F139" s="4">
        <f>COUNTIFS(payments!$B$2:$B$203,A139,payments!$F$2:$F$203,"succeeded")</f>
        <v>0</v>
      </c>
      <c r="G139" s="4">
        <f>SUMIFS(payments!$G$2:$G$203,payments!$F$2:$F$203,"succeeded",payments!$B$2:$B$203,A139)</f>
        <v>0</v>
      </c>
      <c r="H139" s="4">
        <f>SUMIF(refunds!$G$2:$G$15,A139,refunds!$D$2:$D$15)</f>
        <v>0</v>
      </c>
      <c r="I139" s="4">
        <f>users[[#This Row],[paid_usd]]-users[[#This Row],[refunded_usd]]</f>
        <v>0</v>
      </c>
      <c r="J139" s="4">
        <f>IF(users[[#This Row],[successful_payments_count]]&gt;0,1,0)</f>
        <v>0</v>
      </c>
    </row>
    <row r="140" spans="1:10">
      <c r="A140">
        <v>139</v>
      </c>
      <c r="B140" s="3">
        <v>46133.1820023148</v>
      </c>
      <c r="C140" t="s">
        <v>17</v>
      </c>
      <c r="D140" t="s">
        <v>23</v>
      </c>
      <c r="E140">
        <v>5</v>
      </c>
      <c r="F140" s="4">
        <f>COUNTIFS(payments!$B$2:$B$203,A140,payments!$F$2:$F$203,"succeeded")</f>
        <v>0</v>
      </c>
      <c r="G140" s="4">
        <f>SUMIFS(payments!$G$2:$G$203,payments!$F$2:$F$203,"succeeded",payments!$B$2:$B$203,A140)</f>
        <v>0</v>
      </c>
      <c r="H140" s="4">
        <f>SUMIF(refunds!$G$2:$G$15,A140,refunds!$D$2:$D$15)</f>
        <v>0</v>
      </c>
      <c r="I140" s="4">
        <f>users[[#This Row],[paid_usd]]-users[[#This Row],[refunded_usd]]</f>
        <v>0</v>
      </c>
      <c r="J140" s="4">
        <f>IF(users[[#This Row],[successful_payments_count]]&gt;0,1,0)</f>
        <v>0</v>
      </c>
    </row>
    <row r="141" spans="1:10">
      <c r="A141">
        <v>140</v>
      </c>
      <c r="B141" s="3">
        <v>46089.7188773148</v>
      </c>
      <c r="C141" t="s">
        <v>17</v>
      </c>
      <c r="D141" t="s">
        <v>23</v>
      </c>
      <c r="E141">
        <v>4</v>
      </c>
      <c r="F141" s="4">
        <f>COUNTIFS(payments!$B$2:$B$203,A141,payments!$F$2:$F$203,"succeeded")</f>
        <v>0</v>
      </c>
      <c r="G141" s="4">
        <f>SUMIFS(payments!$G$2:$G$203,payments!$F$2:$F$203,"succeeded",payments!$B$2:$B$203,A141)</f>
        <v>0</v>
      </c>
      <c r="H141" s="4">
        <f>SUMIF(refunds!$G$2:$G$15,A141,refunds!$D$2:$D$15)</f>
        <v>0</v>
      </c>
      <c r="I141" s="4">
        <f>users[[#This Row],[paid_usd]]-users[[#This Row],[refunded_usd]]</f>
        <v>0</v>
      </c>
      <c r="J141" s="4">
        <f>IF(users[[#This Row],[successful_payments_count]]&gt;0,1,0)</f>
        <v>0</v>
      </c>
    </row>
    <row r="142" spans="1:10">
      <c r="A142">
        <v>141</v>
      </c>
      <c r="B142" s="3">
        <v>46180.2416435185</v>
      </c>
      <c r="C142" t="s">
        <v>15</v>
      </c>
      <c r="D142" t="s">
        <v>22</v>
      </c>
      <c r="E142">
        <v>2</v>
      </c>
      <c r="F142" s="4">
        <f>COUNTIFS(payments!$B$2:$B$203,A142,payments!$F$2:$F$203,"succeeded")</f>
        <v>0</v>
      </c>
      <c r="G142" s="4">
        <f>SUMIFS(payments!$G$2:$G$203,payments!$F$2:$F$203,"succeeded",payments!$B$2:$B$203,A142)</f>
        <v>0</v>
      </c>
      <c r="H142" s="4">
        <f>SUMIF(refunds!$G$2:$G$15,A142,refunds!$D$2:$D$15)</f>
        <v>0</v>
      </c>
      <c r="I142" s="4">
        <f>users[[#This Row],[paid_usd]]-users[[#This Row],[refunded_usd]]</f>
        <v>0</v>
      </c>
      <c r="J142" s="4">
        <f>IF(users[[#This Row],[successful_payments_count]]&gt;0,1,0)</f>
        <v>0</v>
      </c>
    </row>
    <row r="143" spans="1:10">
      <c r="A143">
        <v>142</v>
      </c>
      <c r="B143" s="3">
        <v>46125.6756481481</v>
      </c>
      <c r="C143" t="s">
        <v>19</v>
      </c>
      <c r="D143" t="s">
        <v>4</v>
      </c>
      <c r="F143" s="4">
        <f>COUNTIFS(payments!$B$2:$B$203,A143,payments!$F$2:$F$203,"succeeded")</f>
        <v>1</v>
      </c>
      <c r="G143" s="4">
        <f>SUMIFS(payments!$G$2:$G$203,payments!$F$2:$F$203,"succeeded",payments!$B$2:$B$203,A143)</f>
        <v>19.99</v>
      </c>
      <c r="H143" s="4">
        <f>SUMIF(refunds!$G$2:$G$15,A143,refunds!$D$2:$D$15)</f>
        <v>0</v>
      </c>
      <c r="I143" s="4">
        <f>users[[#This Row],[paid_usd]]-users[[#This Row],[refunded_usd]]</f>
        <v>19.99</v>
      </c>
      <c r="J143" s="4">
        <f>IF(users[[#This Row],[successful_payments_count]]&gt;0,1,0)</f>
        <v>1</v>
      </c>
    </row>
    <row r="144" spans="1:10">
      <c r="A144">
        <v>143</v>
      </c>
      <c r="B144" s="3">
        <v>46072.4928935185</v>
      </c>
      <c r="C144" t="s">
        <v>17</v>
      </c>
      <c r="D144" t="s">
        <v>22</v>
      </c>
      <c r="E144">
        <v>7</v>
      </c>
      <c r="F144" s="4">
        <f>COUNTIFS(payments!$B$2:$B$203,A144,payments!$F$2:$F$203,"succeeded")</f>
        <v>0</v>
      </c>
      <c r="G144" s="4">
        <f>SUMIFS(payments!$G$2:$G$203,payments!$F$2:$F$203,"succeeded",payments!$B$2:$B$203,A144)</f>
        <v>0</v>
      </c>
      <c r="H144" s="4">
        <f>SUMIF(refunds!$G$2:$G$15,A144,refunds!$D$2:$D$15)</f>
        <v>0</v>
      </c>
      <c r="I144" s="4">
        <f>users[[#This Row],[paid_usd]]-users[[#This Row],[refunded_usd]]</f>
        <v>0</v>
      </c>
      <c r="J144" s="4">
        <f>IF(users[[#This Row],[successful_payments_count]]&gt;0,1,0)</f>
        <v>0</v>
      </c>
    </row>
    <row r="145" spans="1:10">
      <c r="A145">
        <v>144</v>
      </c>
      <c r="B145" s="3">
        <v>46179.7200925926</v>
      </c>
      <c r="C145" t="s">
        <v>17</v>
      </c>
      <c r="D145" t="s">
        <v>23</v>
      </c>
      <c r="F145" s="4">
        <f>COUNTIFS(payments!$B$2:$B$203,A145,payments!$F$2:$F$203,"succeeded")</f>
        <v>0</v>
      </c>
      <c r="G145" s="4">
        <f>SUMIFS(payments!$G$2:$G$203,payments!$F$2:$F$203,"succeeded",payments!$B$2:$B$203,A145)</f>
        <v>0</v>
      </c>
      <c r="H145" s="4">
        <f>SUMIF(refunds!$G$2:$G$15,A145,refunds!$D$2:$D$15)</f>
        <v>0</v>
      </c>
      <c r="I145" s="4">
        <f>users[[#This Row],[paid_usd]]-users[[#This Row],[refunded_usd]]</f>
        <v>0</v>
      </c>
      <c r="J145" s="4">
        <f>IF(users[[#This Row],[successful_payments_count]]&gt;0,1,0)</f>
        <v>0</v>
      </c>
    </row>
    <row r="146" spans="1:10">
      <c r="A146">
        <v>145</v>
      </c>
      <c r="B146" s="3">
        <v>46048.0886921296</v>
      </c>
      <c r="C146" t="s">
        <v>14</v>
      </c>
      <c r="D146" t="s">
        <v>4</v>
      </c>
      <c r="E146">
        <v>6</v>
      </c>
      <c r="F146" s="4">
        <f>COUNTIFS(payments!$B$2:$B$203,A146,payments!$F$2:$F$203,"succeeded")</f>
        <v>0</v>
      </c>
      <c r="G146" s="4">
        <f>SUMIFS(payments!$G$2:$G$203,payments!$F$2:$F$203,"succeeded",payments!$B$2:$B$203,A146)</f>
        <v>0</v>
      </c>
      <c r="H146" s="4">
        <f>SUMIF(refunds!$G$2:$G$15,A146,refunds!$D$2:$D$15)</f>
        <v>0</v>
      </c>
      <c r="I146" s="4">
        <f>users[[#This Row],[paid_usd]]-users[[#This Row],[refunded_usd]]</f>
        <v>0</v>
      </c>
      <c r="J146" s="4">
        <f>IF(users[[#This Row],[successful_payments_count]]&gt;0,1,0)</f>
        <v>0</v>
      </c>
    </row>
    <row r="147" spans="1:10">
      <c r="A147">
        <v>146</v>
      </c>
      <c r="B147" s="3">
        <v>46159.8043402778</v>
      </c>
      <c r="C147" t="s">
        <v>18</v>
      </c>
      <c r="D147" t="s">
        <v>23</v>
      </c>
      <c r="E147">
        <v>2</v>
      </c>
      <c r="F147" s="4">
        <f>COUNTIFS(payments!$B$2:$B$203,A147,payments!$F$2:$F$203,"succeeded")</f>
        <v>0</v>
      </c>
      <c r="G147" s="4">
        <f>SUMIFS(payments!$G$2:$G$203,payments!$F$2:$F$203,"succeeded",payments!$B$2:$B$203,A147)</f>
        <v>0</v>
      </c>
      <c r="H147" s="4">
        <f>SUMIF(refunds!$G$2:$G$15,A147,refunds!$D$2:$D$15)</f>
        <v>0</v>
      </c>
      <c r="I147" s="4">
        <f>users[[#This Row],[paid_usd]]-users[[#This Row],[refunded_usd]]</f>
        <v>0</v>
      </c>
      <c r="J147" s="4">
        <f>IF(users[[#This Row],[successful_payments_count]]&gt;0,1,0)</f>
        <v>0</v>
      </c>
    </row>
    <row r="148" spans="1:10">
      <c r="A148">
        <v>147</v>
      </c>
      <c r="B148" s="3">
        <v>46182.2436574074</v>
      </c>
      <c r="C148" t="s">
        <v>15</v>
      </c>
      <c r="D148" t="s">
        <v>22</v>
      </c>
      <c r="F148" s="4">
        <f>COUNTIFS(payments!$B$2:$B$203,A148,payments!$F$2:$F$203,"succeeded")</f>
        <v>0</v>
      </c>
      <c r="G148" s="4">
        <f>SUMIFS(payments!$G$2:$G$203,payments!$F$2:$F$203,"succeeded",payments!$B$2:$B$203,A148)</f>
        <v>0</v>
      </c>
      <c r="H148" s="4">
        <f>SUMIF(refunds!$G$2:$G$15,A148,refunds!$D$2:$D$15)</f>
        <v>0</v>
      </c>
      <c r="I148" s="4">
        <f>users[[#This Row],[paid_usd]]-users[[#This Row],[refunded_usd]]</f>
        <v>0</v>
      </c>
      <c r="J148" s="4">
        <f>IF(users[[#This Row],[successful_payments_count]]&gt;0,1,0)</f>
        <v>0</v>
      </c>
    </row>
    <row r="149" spans="1:10">
      <c r="A149">
        <v>148</v>
      </c>
      <c r="B149" s="3">
        <v>46172.376099537</v>
      </c>
      <c r="C149" t="s">
        <v>18</v>
      </c>
      <c r="D149" t="s">
        <v>4</v>
      </c>
      <c r="E149">
        <v>5</v>
      </c>
      <c r="F149" s="4">
        <f>COUNTIFS(payments!$B$2:$B$203,A149,payments!$F$2:$F$203,"succeeded")</f>
        <v>1</v>
      </c>
      <c r="G149" s="4">
        <f>SUMIFS(payments!$G$2:$G$203,payments!$F$2:$F$203,"succeeded",payments!$B$2:$B$203,A149)</f>
        <v>9.99</v>
      </c>
      <c r="H149" s="4">
        <f>SUMIF(refunds!$G$2:$G$15,A149,refunds!$D$2:$D$15)</f>
        <v>0</v>
      </c>
      <c r="I149" s="4">
        <f>users[[#This Row],[paid_usd]]-users[[#This Row],[refunded_usd]]</f>
        <v>9.99</v>
      </c>
      <c r="J149" s="4">
        <f>IF(users[[#This Row],[successful_payments_count]]&gt;0,1,0)</f>
        <v>1</v>
      </c>
    </row>
    <row r="150" spans="1:10">
      <c r="A150">
        <v>149</v>
      </c>
      <c r="B150" s="3">
        <v>46150.8298958333</v>
      </c>
      <c r="C150" t="s">
        <v>15</v>
      </c>
      <c r="D150" t="s">
        <v>4</v>
      </c>
      <c r="E150">
        <v>5</v>
      </c>
      <c r="F150" s="4">
        <f>COUNTIFS(payments!$B$2:$B$203,A150,payments!$F$2:$F$203,"succeeded")</f>
        <v>0</v>
      </c>
      <c r="G150" s="4">
        <f>SUMIFS(payments!$G$2:$G$203,payments!$F$2:$F$203,"succeeded",payments!$B$2:$B$203,A150)</f>
        <v>0</v>
      </c>
      <c r="H150" s="4">
        <f>SUMIF(refunds!$G$2:$G$15,A150,refunds!$D$2:$D$15)</f>
        <v>0</v>
      </c>
      <c r="I150" s="4">
        <f>users[[#This Row],[paid_usd]]-users[[#This Row],[refunded_usd]]</f>
        <v>0</v>
      </c>
      <c r="J150" s="4">
        <f>IF(users[[#This Row],[successful_payments_count]]&gt;0,1,0)</f>
        <v>0</v>
      </c>
    </row>
    <row r="151" spans="1:10">
      <c r="A151">
        <v>150</v>
      </c>
      <c r="B151" s="3">
        <v>46101.1185300926</v>
      </c>
      <c r="C151" t="s">
        <v>16</v>
      </c>
      <c r="D151" t="s">
        <v>23</v>
      </c>
      <c r="E151">
        <v>6</v>
      </c>
      <c r="F151" s="4">
        <f>COUNTIFS(payments!$B$2:$B$203,A151,payments!$F$2:$F$203,"succeeded")</f>
        <v>0</v>
      </c>
      <c r="G151" s="4">
        <f>SUMIFS(payments!$G$2:$G$203,payments!$F$2:$F$203,"succeeded",payments!$B$2:$B$203,A151)</f>
        <v>0</v>
      </c>
      <c r="H151" s="4">
        <f>SUMIF(refunds!$G$2:$G$15,A151,refunds!$D$2:$D$15)</f>
        <v>0</v>
      </c>
      <c r="I151" s="4">
        <f>users[[#This Row],[paid_usd]]-users[[#This Row],[refunded_usd]]</f>
        <v>0</v>
      </c>
      <c r="J151" s="4">
        <f>IF(users[[#This Row],[successful_payments_count]]&gt;0,1,0)</f>
        <v>0</v>
      </c>
    </row>
    <row r="152" spans="1:10">
      <c r="A152">
        <v>151</v>
      </c>
      <c r="B152" s="3">
        <v>46092.4691319444</v>
      </c>
      <c r="C152" t="s">
        <v>17</v>
      </c>
      <c r="D152" t="s">
        <v>22</v>
      </c>
      <c r="E152">
        <v>6</v>
      </c>
      <c r="F152" s="4">
        <f>COUNTIFS(payments!$B$2:$B$203,A152,payments!$F$2:$F$203,"succeeded")</f>
        <v>0</v>
      </c>
      <c r="G152" s="4">
        <f>SUMIFS(payments!$G$2:$G$203,payments!$F$2:$F$203,"succeeded",payments!$B$2:$B$203,A152)</f>
        <v>0</v>
      </c>
      <c r="H152" s="4">
        <f>SUMIF(refunds!$G$2:$G$15,A152,refunds!$D$2:$D$15)</f>
        <v>0</v>
      </c>
      <c r="I152" s="4">
        <f>users[[#This Row],[paid_usd]]-users[[#This Row],[refunded_usd]]</f>
        <v>0</v>
      </c>
      <c r="J152" s="4">
        <f>IF(users[[#This Row],[successful_payments_count]]&gt;0,1,0)</f>
        <v>0</v>
      </c>
    </row>
    <row r="153" spans="1:10">
      <c r="A153">
        <v>152</v>
      </c>
      <c r="B153" s="3">
        <v>46038.7564583333</v>
      </c>
      <c r="C153" t="s">
        <v>14</v>
      </c>
      <c r="D153" t="s">
        <v>4</v>
      </c>
      <c r="F153" s="4">
        <f>COUNTIFS(payments!$B$2:$B$203,A153,payments!$F$2:$F$203,"succeeded")</f>
        <v>1</v>
      </c>
      <c r="G153" s="4">
        <f>SUMIFS(payments!$G$2:$G$203,payments!$F$2:$F$203,"succeeded",payments!$B$2:$B$203,A153)</f>
        <v>9.99</v>
      </c>
      <c r="H153" s="4">
        <f>SUMIF(refunds!$G$2:$G$15,A153,refunds!$D$2:$D$15)</f>
        <v>0</v>
      </c>
      <c r="I153" s="4">
        <f>users[[#This Row],[paid_usd]]-users[[#This Row],[refunded_usd]]</f>
        <v>9.99</v>
      </c>
      <c r="J153" s="4">
        <f>IF(users[[#This Row],[successful_payments_count]]&gt;0,1,0)</f>
        <v>1</v>
      </c>
    </row>
    <row r="154" spans="1:10">
      <c r="A154">
        <v>153</v>
      </c>
      <c r="B154" s="3">
        <v>46184.6512962963</v>
      </c>
      <c r="C154" t="s">
        <v>19</v>
      </c>
      <c r="D154" t="s">
        <v>22</v>
      </c>
      <c r="E154">
        <v>1</v>
      </c>
      <c r="F154" s="4">
        <f>COUNTIFS(payments!$B$2:$B$203,A154,payments!$F$2:$F$203,"succeeded")</f>
        <v>0</v>
      </c>
      <c r="G154" s="4">
        <f>SUMIFS(payments!$G$2:$G$203,payments!$F$2:$F$203,"succeeded",payments!$B$2:$B$203,A154)</f>
        <v>0</v>
      </c>
      <c r="H154" s="4">
        <f>SUMIF(refunds!$G$2:$G$15,A154,refunds!$D$2:$D$15)</f>
        <v>0</v>
      </c>
      <c r="I154" s="4">
        <f>users[[#This Row],[paid_usd]]-users[[#This Row],[refunded_usd]]</f>
        <v>0</v>
      </c>
      <c r="J154" s="4">
        <f>IF(users[[#This Row],[successful_payments_count]]&gt;0,1,0)</f>
        <v>0</v>
      </c>
    </row>
    <row r="155" spans="1:10">
      <c r="A155">
        <v>154</v>
      </c>
      <c r="B155" s="3">
        <v>46087.8454513889</v>
      </c>
      <c r="C155" t="s">
        <v>16</v>
      </c>
      <c r="D155" t="s">
        <v>23</v>
      </c>
      <c r="F155" s="4">
        <f>COUNTIFS(payments!$B$2:$B$203,A155,payments!$F$2:$F$203,"succeeded")</f>
        <v>0</v>
      </c>
      <c r="G155" s="4">
        <f>SUMIFS(payments!$G$2:$G$203,payments!$F$2:$F$203,"succeeded",payments!$B$2:$B$203,A155)</f>
        <v>0</v>
      </c>
      <c r="H155" s="4">
        <f>SUMIF(refunds!$G$2:$G$15,A155,refunds!$D$2:$D$15)</f>
        <v>0</v>
      </c>
      <c r="I155" s="4">
        <f>users[[#This Row],[paid_usd]]-users[[#This Row],[refunded_usd]]</f>
        <v>0</v>
      </c>
      <c r="J155" s="4">
        <f>IF(users[[#This Row],[successful_payments_count]]&gt;0,1,0)</f>
        <v>0</v>
      </c>
    </row>
    <row r="156" spans="1:10">
      <c r="A156">
        <v>155</v>
      </c>
      <c r="B156" s="3">
        <v>46138.0267824074</v>
      </c>
      <c r="C156" t="s">
        <v>16</v>
      </c>
      <c r="D156" t="s">
        <v>22</v>
      </c>
      <c r="F156" s="4">
        <f>COUNTIFS(payments!$B$2:$B$203,A156,payments!$F$2:$F$203,"succeeded")</f>
        <v>0</v>
      </c>
      <c r="G156" s="4">
        <f>SUMIFS(payments!$G$2:$G$203,payments!$F$2:$F$203,"succeeded",payments!$B$2:$B$203,A156)</f>
        <v>0</v>
      </c>
      <c r="H156" s="4">
        <f>SUMIF(refunds!$G$2:$G$15,A156,refunds!$D$2:$D$15)</f>
        <v>0</v>
      </c>
      <c r="I156" s="4">
        <f>users[[#This Row],[paid_usd]]-users[[#This Row],[refunded_usd]]</f>
        <v>0</v>
      </c>
      <c r="J156" s="4">
        <f>IF(users[[#This Row],[successful_payments_count]]&gt;0,1,0)</f>
        <v>0</v>
      </c>
    </row>
    <row r="157" spans="1:10">
      <c r="A157">
        <v>156</v>
      </c>
      <c r="B157" s="3">
        <v>46147.6524768519</v>
      </c>
      <c r="C157" t="s">
        <v>15</v>
      </c>
      <c r="D157" t="s">
        <v>22</v>
      </c>
      <c r="E157">
        <v>1</v>
      </c>
      <c r="F157" s="4">
        <f>COUNTIFS(payments!$B$2:$B$203,A157,payments!$F$2:$F$203,"succeeded")</f>
        <v>1</v>
      </c>
      <c r="G157" s="4">
        <f>SUMIFS(payments!$G$2:$G$203,payments!$F$2:$F$203,"succeeded",payments!$B$2:$B$203,A157)</f>
        <v>9.99</v>
      </c>
      <c r="H157" s="4">
        <f>SUMIF(refunds!$G$2:$G$15,A157,refunds!$D$2:$D$15)</f>
        <v>0</v>
      </c>
      <c r="I157" s="4">
        <f>users[[#This Row],[paid_usd]]-users[[#This Row],[refunded_usd]]</f>
        <v>9.99</v>
      </c>
      <c r="J157" s="4">
        <f>IF(users[[#This Row],[successful_payments_count]]&gt;0,1,0)</f>
        <v>1</v>
      </c>
    </row>
    <row r="158" spans="1:10">
      <c r="A158">
        <v>157</v>
      </c>
      <c r="B158" s="3">
        <v>46128.7709143519</v>
      </c>
      <c r="C158" t="s">
        <v>15</v>
      </c>
      <c r="D158" t="s">
        <v>22</v>
      </c>
      <c r="E158">
        <v>4</v>
      </c>
      <c r="F158" s="4">
        <f>COUNTIFS(payments!$B$2:$B$203,A158,payments!$F$2:$F$203,"succeeded")</f>
        <v>0</v>
      </c>
      <c r="G158" s="4">
        <f>SUMIFS(payments!$G$2:$G$203,payments!$F$2:$F$203,"succeeded",payments!$B$2:$B$203,A158)</f>
        <v>0</v>
      </c>
      <c r="H158" s="4">
        <f>SUMIF(refunds!$G$2:$G$15,A158,refunds!$D$2:$D$15)</f>
        <v>0</v>
      </c>
      <c r="I158" s="4">
        <f>users[[#This Row],[paid_usd]]-users[[#This Row],[refunded_usd]]</f>
        <v>0</v>
      </c>
      <c r="J158" s="4">
        <f>IF(users[[#This Row],[successful_payments_count]]&gt;0,1,0)</f>
        <v>0</v>
      </c>
    </row>
    <row r="159" spans="1:10">
      <c r="A159">
        <v>158</v>
      </c>
      <c r="B159" s="3">
        <v>46113.2983912037</v>
      </c>
      <c r="C159" t="s">
        <v>17</v>
      </c>
      <c r="D159" t="s">
        <v>23</v>
      </c>
      <c r="E159">
        <v>5</v>
      </c>
      <c r="F159" s="4">
        <f>COUNTIFS(payments!$B$2:$B$203,A159,payments!$F$2:$F$203,"succeeded")</f>
        <v>0</v>
      </c>
      <c r="G159" s="4">
        <f>SUMIFS(payments!$G$2:$G$203,payments!$F$2:$F$203,"succeeded",payments!$B$2:$B$203,A159)</f>
        <v>0</v>
      </c>
      <c r="H159" s="4">
        <f>SUMIF(refunds!$G$2:$G$15,A159,refunds!$D$2:$D$15)</f>
        <v>0</v>
      </c>
      <c r="I159" s="4">
        <f>users[[#This Row],[paid_usd]]-users[[#This Row],[refunded_usd]]</f>
        <v>0</v>
      </c>
      <c r="J159" s="4">
        <f>IF(users[[#This Row],[successful_payments_count]]&gt;0,1,0)</f>
        <v>0</v>
      </c>
    </row>
    <row r="160" spans="1:10">
      <c r="A160">
        <v>159</v>
      </c>
      <c r="B160" s="3">
        <v>46170.9871643518</v>
      </c>
      <c r="C160" t="s">
        <v>19</v>
      </c>
      <c r="D160" t="s">
        <v>22</v>
      </c>
      <c r="E160">
        <v>5</v>
      </c>
      <c r="F160" s="4">
        <f>COUNTIFS(payments!$B$2:$B$203,A160,payments!$F$2:$F$203,"succeeded")</f>
        <v>0</v>
      </c>
      <c r="G160" s="4">
        <f>SUMIFS(payments!$G$2:$G$203,payments!$F$2:$F$203,"succeeded",payments!$B$2:$B$203,A160)</f>
        <v>0</v>
      </c>
      <c r="H160" s="4">
        <f>SUMIF(refunds!$G$2:$G$15,A160,refunds!$D$2:$D$15)</f>
        <v>0</v>
      </c>
      <c r="I160" s="4">
        <f>users[[#This Row],[paid_usd]]-users[[#This Row],[refunded_usd]]</f>
        <v>0</v>
      </c>
      <c r="J160" s="4">
        <f>IF(users[[#This Row],[successful_payments_count]]&gt;0,1,0)</f>
        <v>0</v>
      </c>
    </row>
    <row r="161" spans="1:10">
      <c r="A161">
        <v>160</v>
      </c>
      <c r="B161" s="3">
        <v>46113.4375578704</v>
      </c>
      <c r="C161" t="s">
        <v>17</v>
      </c>
      <c r="D161" t="s">
        <v>4</v>
      </c>
      <c r="E161">
        <v>4</v>
      </c>
      <c r="F161" s="4">
        <f>COUNTIFS(payments!$B$2:$B$203,A161,payments!$F$2:$F$203,"succeeded")</f>
        <v>0</v>
      </c>
      <c r="G161" s="4">
        <f>SUMIFS(payments!$G$2:$G$203,payments!$F$2:$F$203,"succeeded",payments!$B$2:$B$203,A161)</f>
        <v>0</v>
      </c>
      <c r="H161" s="4">
        <f>SUMIF(refunds!$G$2:$G$15,A161,refunds!$D$2:$D$15)</f>
        <v>0</v>
      </c>
      <c r="I161" s="4">
        <f>users[[#This Row],[paid_usd]]-users[[#This Row],[refunded_usd]]</f>
        <v>0</v>
      </c>
      <c r="J161" s="4">
        <f>IF(users[[#This Row],[successful_payments_count]]&gt;0,1,0)</f>
        <v>0</v>
      </c>
    </row>
    <row r="162" spans="1:10">
      <c r="A162">
        <v>161</v>
      </c>
      <c r="B162" s="3">
        <v>46046.5874537037</v>
      </c>
      <c r="C162" t="s">
        <v>19</v>
      </c>
      <c r="D162" t="s">
        <v>4</v>
      </c>
      <c r="E162">
        <v>5</v>
      </c>
      <c r="F162" s="4">
        <f>COUNTIFS(payments!$B$2:$B$203,A162,payments!$F$2:$F$203,"succeeded")</f>
        <v>1</v>
      </c>
      <c r="G162" s="4">
        <f>SUMIFS(payments!$G$2:$G$203,payments!$F$2:$F$203,"succeeded",payments!$B$2:$B$203,A162)</f>
        <v>9.99</v>
      </c>
      <c r="H162" s="4">
        <f>SUMIF(refunds!$G$2:$G$15,A162,refunds!$D$2:$D$15)</f>
        <v>0</v>
      </c>
      <c r="I162" s="4">
        <f>users[[#This Row],[paid_usd]]-users[[#This Row],[refunded_usd]]</f>
        <v>9.99</v>
      </c>
      <c r="J162" s="4">
        <f>IF(users[[#This Row],[successful_payments_count]]&gt;0,1,0)</f>
        <v>1</v>
      </c>
    </row>
    <row r="163" spans="1:10">
      <c r="A163">
        <v>162</v>
      </c>
      <c r="B163" s="3">
        <v>46110.2761689815</v>
      </c>
      <c r="C163" t="s">
        <v>19</v>
      </c>
      <c r="D163" t="s">
        <v>4</v>
      </c>
      <c r="F163" s="4">
        <f>COUNTIFS(payments!$B$2:$B$203,A163,payments!$F$2:$F$203,"succeeded")</f>
        <v>1</v>
      </c>
      <c r="G163" s="4">
        <f>SUMIFS(payments!$G$2:$G$203,payments!$F$2:$F$203,"succeeded",payments!$B$2:$B$203,A163)</f>
        <v>19.99</v>
      </c>
      <c r="H163" s="4">
        <f>SUMIF(refunds!$G$2:$G$15,A163,refunds!$D$2:$D$15)</f>
        <v>0</v>
      </c>
      <c r="I163" s="4">
        <f>users[[#This Row],[paid_usd]]-users[[#This Row],[refunded_usd]]</f>
        <v>19.99</v>
      </c>
      <c r="J163" s="4">
        <f>IF(users[[#This Row],[successful_payments_count]]&gt;0,1,0)</f>
        <v>1</v>
      </c>
    </row>
    <row r="164" spans="1:10">
      <c r="A164">
        <v>163</v>
      </c>
      <c r="B164" s="3">
        <v>46151.7184722222</v>
      </c>
      <c r="C164" t="s">
        <v>16</v>
      </c>
      <c r="D164" t="s">
        <v>22</v>
      </c>
      <c r="E164">
        <v>2</v>
      </c>
      <c r="F164" s="4">
        <f>COUNTIFS(payments!$B$2:$B$203,A164,payments!$F$2:$F$203,"succeeded")</f>
        <v>1</v>
      </c>
      <c r="G164" s="4">
        <f>SUMIFS(payments!$G$2:$G$203,payments!$F$2:$F$203,"succeeded",payments!$B$2:$B$203,A164)</f>
        <v>19.99</v>
      </c>
      <c r="H164" s="4">
        <f>SUMIF(refunds!$G$2:$G$15,A164,refunds!$D$2:$D$15)</f>
        <v>0</v>
      </c>
      <c r="I164" s="4">
        <f>users[[#This Row],[paid_usd]]-users[[#This Row],[refunded_usd]]</f>
        <v>19.99</v>
      </c>
      <c r="J164" s="4">
        <f>IF(users[[#This Row],[successful_payments_count]]&gt;0,1,0)</f>
        <v>1</v>
      </c>
    </row>
    <row r="165" spans="1:10">
      <c r="A165">
        <v>164</v>
      </c>
      <c r="B165" s="3">
        <v>46031.5042592593</v>
      </c>
      <c r="C165" t="s">
        <v>15</v>
      </c>
      <c r="D165" t="s">
        <v>4</v>
      </c>
      <c r="E165">
        <v>4</v>
      </c>
      <c r="F165" s="4">
        <f>COUNTIFS(payments!$B$2:$B$203,A165,payments!$F$2:$F$203,"succeeded")</f>
        <v>0</v>
      </c>
      <c r="G165" s="4">
        <f>SUMIFS(payments!$G$2:$G$203,payments!$F$2:$F$203,"succeeded",payments!$B$2:$B$203,A165)</f>
        <v>0</v>
      </c>
      <c r="H165" s="4">
        <f>SUMIF(refunds!$G$2:$G$15,A165,refunds!$D$2:$D$15)</f>
        <v>0</v>
      </c>
      <c r="I165" s="4">
        <f>users[[#This Row],[paid_usd]]-users[[#This Row],[refunded_usd]]</f>
        <v>0</v>
      </c>
      <c r="J165" s="4">
        <f>IF(users[[#This Row],[successful_payments_count]]&gt;0,1,0)</f>
        <v>0</v>
      </c>
    </row>
    <row r="166" spans="1:10">
      <c r="A166">
        <v>165</v>
      </c>
      <c r="B166" s="3">
        <v>46092.6612268519</v>
      </c>
      <c r="C166" t="s">
        <v>19</v>
      </c>
      <c r="D166" t="s">
        <v>23</v>
      </c>
      <c r="E166">
        <v>4</v>
      </c>
      <c r="F166" s="4">
        <f>COUNTIFS(payments!$B$2:$B$203,A166,payments!$F$2:$F$203,"succeeded")</f>
        <v>1</v>
      </c>
      <c r="G166" s="4">
        <f>SUMIFS(payments!$G$2:$G$203,payments!$F$2:$F$203,"succeeded",payments!$B$2:$B$203,A166)</f>
        <v>9.99</v>
      </c>
      <c r="H166" s="4">
        <f>SUMIF(refunds!$G$2:$G$15,A166,refunds!$D$2:$D$15)</f>
        <v>0</v>
      </c>
      <c r="I166" s="4">
        <f>users[[#This Row],[paid_usd]]-users[[#This Row],[refunded_usd]]</f>
        <v>9.99</v>
      </c>
      <c r="J166" s="4">
        <f>IF(users[[#This Row],[successful_payments_count]]&gt;0,1,0)</f>
        <v>1</v>
      </c>
    </row>
    <row r="167" spans="1:10">
      <c r="A167">
        <v>166</v>
      </c>
      <c r="B167" s="3">
        <v>46059.7361689815</v>
      </c>
      <c r="C167" t="s">
        <v>16</v>
      </c>
      <c r="D167" t="s">
        <v>23</v>
      </c>
      <c r="E167">
        <v>5</v>
      </c>
      <c r="F167" s="4">
        <f>COUNTIFS(payments!$B$2:$B$203,A167,payments!$F$2:$F$203,"succeeded")</f>
        <v>0</v>
      </c>
      <c r="G167" s="4">
        <f>SUMIFS(payments!$G$2:$G$203,payments!$F$2:$F$203,"succeeded",payments!$B$2:$B$203,A167)</f>
        <v>0</v>
      </c>
      <c r="H167" s="4">
        <f>SUMIF(refunds!$G$2:$G$15,A167,refunds!$D$2:$D$15)</f>
        <v>0</v>
      </c>
      <c r="I167" s="4">
        <f>users[[#This Row],[paid_usd]]-users[[#This Row],[refunded_usd]]</f>
        <v>0</v>
      </c>
      <c r="J167" s="4">
        <f>IF(users[[#This Row],[successful_payments_count]]&gt;0,1,0)</f>
        <v>0</v>
      </c>
    </row>
    <row r="168" spans="1:10">
      <c r="A168">
        <v>167</v>
      </c>
      <c r="B168" s="3">
        <v>46061.3699768518</v>
      </c>
      <c r="C168" t="s">
        <v>15</v>
      </c>
      <c r="D168" t="s">
        <v>22</v>
      </c>
      <c r="E168">
        <v>5</v>
      </c>
      <c r="F168" s="4">
        <f>COUNTIFS(payments!$B$2:$B$203,A168,payments!$F$2:$F$203,"succeeded")</f>
        <v>0</v>
      </c>
      <c r="G168" s="4">
        <f>SUMIFS(payments!$G$2:$G$203,payments!$F$2:$F$203,"succeeded",payments!$B$2:$B$203,A168)</f>
        <v>0</v>
      </c>
      <c r="H168" s="4">
        <f>SUMIF(refunds!$G$2:$G$15,A168,refunds!$D$2:$D$15)</f>
        <v>0</v>
      </c>
      <c r="I168" s="4">
        <f>users[[#This Row],[paid_usd]]-users[[#This Row],[refunded_usd]]</f>
        <v>0</v>
      </c>
      <c r="J168" s="4">
        <f>IF(users[[#This Row],[successful_payments_count]]&gt;0,1,0)</f>
        <v>0</v>
      </c>
    </row>
    <row r="169" spans="1:10">
      <c r="A169">
        <v>168</v>
      </c>
      <c r="B169" s="3">
        <v>46156.9161111111</v>
      </c>
      <c r="C169" t="s">
        <v>14</v>
      </c>
      <c r="D169" t="s">
        <v>4</v>
      </c>
      <c r="E169">
        <v>7</v>
      </c>
      <c r="F169" s="4">
        <f>COUNTIFS(payments!$B$2:$B$203,A169,payments!$F$2:$F$203,"succeeded")</f>
        <v>0</v>
      </c>
      <c r="G169" s="4">
        <f>SUMIFS(payments!$G$2:$G$203,payments!$F$2:$F$203,"succeeded",payments!$B$2:$B$203,A169)</f>
        <v>0</v>
      </c>
      <c r="H169" s="4">
        <f>SUMIF(refunds!$G$2:$G$15,A169,refunds!$D$2:$D$15)</f>
        <v>0</v>
      </c>
      <c r="I169" s="4">
        <f>users[[#This Row],[paid_usd]]-users[[#This Row],[refunded_usd]]</f>
        <v>0</v>
      </c>
      <c r="J169" s="4">
        <f>IF(users[[#This Row],[successful_payments_count]]&gt;0,1,0)</f>
        <v>0</v>
      </c>
    </row>
    <row r="170" spans="1:10">
      <c r="A170">
        <v>169</v>
      </c>
      <c r="B170" s="3">
        <v>46106.7106481481</v>
      </c>
      <c r="C170" t="s">
        <v>18</v>
      </c>
      <c r="D170" t="s">
        <v>4</v>
      </c>
      <c r="E170">
        <v>3</v>
      </c>
      <c r="F170" s="4">
        <f>COUNTIFS(payments!$B$2:$B$203,A170,payments!$F$2:$F$203,"succeeded")</f>
        <v>0</v>
      </c>
      <c r="G170" s="4">
        <f>SUMIFS(payments!$G$2:$G$203,payments!$F$2:$F$203,"succeeded",payments!$B$2:$B$203,A170)</f>
        <v>0</v>
      </c>
      <c r="H170" s="4">
        <f>SUMIF(refunds!$G$2:$G$15,A170,refunds!$D$2:$D$15)</f>
        <v>0</v>
      </c>
      <c r="I170" s="4">
        <f>users[[#This Row],[paid_usd]]-users[[#This Row],[refunded_usd]]</f>
        <v>0</v>
      </c>
      <c r="J170" s="4">
        <f>IF(users[[#This Row],[successful_payments_count]]&gt;0,1,0)</f>
        <v>0</v>
      </c>
    </row>
    <row r="171" spans="1:10">
      <c r="A171">
        <v>170</v>
      </c>
      <c r="B171" s="3">
        <v>46114.2011921296</v>
      </c>
      <c r="C171" t="s">
        <v>18</v>
      </c>
      <c r="D171" t="s">
        <v>4</v>
      </c>
      <c r="E171">
        <v>3</v>
      </c>
      <c r="F171" s="4">
        <f>COUNTIFS(payments!$B$2:$B$203,A171,payments!$F$2:$F$203,"succeeded")</f>
        <v>0</v>
      </c>
      <c r="G171" s="4">
        <f>SUMIFS(payments!$G$2:$G$203,payments!$F$2:$F$203,"succeeded",payments!$B$2:$B$203,A171)</f>
        <v>0</v>
      </c>
      <c r="H171" s="4">
        <f>SUMIF(refunds!$G$2:$G$15,A171,refunds!$D$2:$D$15)</f>
        <v>0</v>
      </c>
      <c r="I171" s="4">
        <f>users[[#This Row],[paid_usd]]-users[[#This Row],[refunded_usd]]</f>
        <v>0</v>
      </c>
      <c r="J171" s="4">
        <f>IF(users[[#This Row],[successful_payments_count]]&gt;0,1,0)</f>
        <v>0</v>
      </c>
    </row>
    <row r="172" spans="1:10">
      <c r="A172">
        <v>171</v>
      </c>
      <c r="B172" s="3">
        <v>46060.4112037037</v>
      </c>
      <c r="C172" t="s">
        <v>19</v>
      </c>
      <c r="D172" t="s">
        <v>22</v>
      </c>
      <c r="E172">
        <v>2</v>
      </c>
      <c r="F172" s="4">
        <f>COUNTIFS(payments!$B$2:$B$203,A172,payments!$F$2:$F$203,"succeeded")</f>
        <v>0</v>
      </c>
      <c r="G172" s="4">
        <f>SUMIFS(payments!$G$2:$G$203,payments!$F$2:$F$203,"succeeded",payments!$B$2:$B$203,A172)</f>
        <v>0</v>
      </c>
      <c r="H172" s="4">
        <f>SUMIF(refunds!$G$2:$G$15,A172,refunds!$D$2:$D$15)</f>
        <v>0</v>
      </c>
      <c r="I172" s="4">
        <f>users[[#This Row],[paid_usd]]-users[[#This Row],[refunded_usd]]</f>
        <v>0</v>
      </c>
      <c r="J172" s="4">
        <f>IF(users[[#This Row],[successful_payments_count]]&gt;0,1,0)</f>
        <v>0</v>
      </c>
    </row>
    <row r="173" spans="1:10">
      <c r="A173">
        <v>172</v>
      </c>
      <c r="B173" s="3">
        <v>46027.3090625</v>
      </c>
      <c r="C173" t="s">
        <v>18</v>
      </c>
      <c r="D173" t="s">
        <v>23</v>
      </c>
      <c r="E173">
        <v>6</v>
      </c>
      <c r="F173" s="4">
        <f>COUNTIFS(payments!$B$2:$B$203,A173,payments!$F$2:$F$203,"succeeded")</f>
        <v>0</v>
      </c>
      <c r="G173" s="4">
        <f>SUMIFS(payments!$G$2:$G$203,payments!$F$2:$F$203,"succeeded",payments!$B$2:$B$203,A173)</f>
        <v>0</v>
      </c>
      <c r="H173" s="4">
        <f>SUMIF(refunds!$G$2:$G$15,A173,refunds!$D$2:$D$15)</f>
        <v>0</v>
      </c>
      <c r="I173" s="4">
        <f>users[[#This Row],[paid_usd]]-users[[#This Row],[refunded_usd]]</f>
        <v>0</v>
      </c>
      <c r="J173" s="4">
        <f>IF(users[[#This Row],[successful_payments_count]]&gt;0,1,0)</f>
        <v>0</v>
      </c>
    </row>
    <row r="174" spans="1:10">
      <c r="A174">
        <v>173</v>
      </c>
      <c r="B174" s="3">
        <v>46076.2921064815</v>
      </c>
      <c r="C174" t="s">
        <v>17</v>
      </c>
      <c r="D174" t="s">
        <v>23</v>
      </c>
      <c r="E174">
        <v>3</v>
      </c>
      <c r="F174" s="4">
        <f>COUNTIFS(payments!$B$2:$B$203,A174,payments!$F$2:$F$203,"succeeded")</f>
        <v>0</v>
      </c>
      <c r="G174" s="4">
        <f>SUMIFS(payments!$G$2:$G$203,payments!$F$2:$F$203,"succeeded",payments!$B$2:$B$203,A174)</f>
        <v>0</v>
      </c>
      <c r="H174" s="4">
        <f>SUMIF(refunds!$G$2:$G$15,A174,refunds!$D$2:$D$15)</f>
        <v>0</v>
      </c>
      <c r="I174" s="4">
        <f>users[[#This Row],[paid_usd]]-users[[#This Row],[refunded_usd]]</f>
        <v>0</v>
      </c>
      <c r="J174" s="4">
        <f>IF(users[[#This Row],[successful_payments_count]]&gt;0,1,0)</f>
        <v>0</v>
      </c>
    </row>
    <row r="175" spans="1:10">
      <c r="A175">
        <v>174</v>
      </c>
      <c r="B175" s="3">
        <v>46026.7094560185</v>
      </c>
      <c r="C175" t="s">
        <v>16</v>
      </c>
      <c r="D175" t="s">
        <v>4</v>
      </c>
      <c r="E175">
        <v>5</v>
      </c>
      <c r="F175" s="4">
        <f>COUNTIFS(payments!$B$2:$B$203,A175,payments!$F$2:$F$203,"succeeded")</f>
        <v>0</v>
      </c>
      <c r="G175" s="4">
        <f>SUMIFS(payments!$G$2:$G$203,payments!$F$2:$F$203,"succeeded",payments!$B$2:$B$203,A175)</f>
        <v>0</v>
      </c>
      <c r="H175" s="4">
        <f>SUMIF(refunds!$G$2:$G$15,A175,refunds!$D$2:$D$15)</f>
        <v>0</v>
      </c>
      <c r="I175" s="4">
        <f>users[[#This Row],[paid_usd]]-users[[#This Row],[refunded_usd]]</f>
        <v>0</v>
      </c>
      <c r="J175" s="4">
        <f>IF(users[[#This Row],[successful_payments_count]]&gt;0,1,0)</f>
        <v>0</v>
      </c>
    </row>
    <row r="176" spans="1:10">
      <c r="A176">
        <v>175</v>
      </c>
      <c r="B176" s="3">
        <v>46037.2590740741</v>
      </c>
      <c r="C176" t="s">
        <v>18</v>
      </c>
      <c r="D176" t="s">
        <v>23</v>
      </c>
      <c r="F176" s="4">
        <f>COUNTIFS(payments!$B$2:$B$203,A176,payments!$F$2:$F$203,"succeeded")</f>
        <v>1</v>
      </c>
      <c r="G176" s="4">
        <f>SUMIFS(payments!$G$2:$G$203,payments!$F$2:$F$203,"succeeded",payments!$B$2:$B$203,A176)</f>
        <v>19.99</v>
      </c>
      <c r="H176" s="4">
        <f>SUMIF(refunds!$G$2:$G$15,A176,refunds!$D$2:$D$15)</f>
        <v>0</v>
      </c>
      <c r="I176" s="4">
        <f>users[[#This Row],[paid_usd]]-users[[#This Row],[refunded_usd]]</f>
        <v>19.99</v>
      </c>
      <c r="J176" s="4">
        <f>IF(users[[#This Row],[successful_payments_count]]&gt;0,1,0)</f>
        <v>1</v>
      </c>
    </row>
    <row r="177" spans="1:10">
      <c r="A177">
        <v>176</v>
      </c>
      <c r="B177" s="3">
        <v>46180.5351041667</v>
      </c>
      <c r="C177" t="s">
        <v>16</v>
      </c>
      <c r="D177" t="s">
        <v>22</v>
      </c>
      <c r="F177" s="4">
        <f>COUNTIFS(payments!$B$2:$B$203,A177,payments!$F$2:$F$203,"succeeded")</f>
        <v>1</v>
      </c>
      <c r="G177" s="4">
        <f>SUMIFS(payments!$G$2:$G$203,payments!$F$2:$F$203,"succeeded",payments!$B$2:$B$203,A177)</f>
        <v>19.99</v>
      </c>
      <c r="H177" s="4">
        <f>SUMIF(refunds!$G$2:$G$15,A177,refunds!$D$2:$D$15)</f>
        <v>0</v>
      </c>
      <c r="I177" s="4">
        <f>users[[#This Row],[paid_usd]]-users[[#This Row],[refunded_usd]]</f>
        <v>19.99</v>
      </c>
      <c r="J177" s="4">
        <f>IF(users[[#This Row],[successful_payments_count]]&gt;0,1,0)</f>
        <v>1</v>
      </c>
    </row>
    <row r="178" spans="1:10">
      <c r="A178">
        <v>177</v>
      </c>
      <c r="B178" s="3">
        <v>46110.4382175926</v>
      </c>
      <c r="C178" t="s">
        <v>19</v>
      </c>
      <c r="D178" t="s">
        <v>4</v>
      </c>
      <c r="E178">
        <v>5</v>
      </c>
      <c r="F178" s="4">
        <f>COUNTIFS(payments!$B$2:$B$203,A178,payments!$F$2:$F$203,"succeeded")</f>
        <v>0</v>
      </c>
      <c r="G178" s="4">
        <f>SUMIFS(payments!$G$2:$G$203,payments!$F$2:$F$203,"succeeded",payments!$B$2:$B$203,A178)</f>
        <v>0</v>
      </c>
      <c r="H178" s="4">
        <f>SUMIF(refunds!$G$2:$G$15,A178,refunds!$D$2:$D$15)</f>
        <v>0</v>
      </c>
      <c r="I178" s="4">
        <f>users[[#This Row],[paid_usd]]-users[[#This Row],[refunded_usd]]</f>
        <v>0</v>
      </c>
      <c r="J178" s="4">
        <f>IF(users[[#This Row],[successful_payments_count]]&gt;0,1,0)</f>
        <v>0</v>
      </c>
    </row>
    <row r="179" spans="1:10">
      <c r="A179">
        <v>178</v>
      </c>
      <c r="B179" s="3">
        <v>46058.1286689815</v>
      </c>
      <c r="C179" t="s">
        <v>15</v>
      </c>
      <c r="D179" t="s">
        <v>23</v>
      </c>
      <c r="F179" s="4">
        <f>COUNTIFS(payments!$B$2:$B$203,A179,payments!$F$2:$F$203,"succeeded")</f>
        <v>1</v>
      </c>
      <c r="G179" s="4">
        <f>SUMIFS(payments!$G$2:$G$203,payments!$F$2:$F$203,"succeeded",payments!$B$2:$B$203,A179)</f>
        <v>4.99</v>
      </c>
      <c r="H179" s="4">
        <f>SUMIF(refunds!$G$2:$G$15,A179,refunds!$D$2:$D$15)</f>
        <v>0</v>
      </c>
      <c r="I179" s="4">
        <f>users[[#This Row],[paid_usd]]-users[[#This Row],[refunded_usd]]</f>
        <v>4.99</v>
      </c>
      <c r="J179" s="4">
        <f>IF(users[[#This Row],[successful_payments_count]]&gt;0,1,0)</f>
        <v>1</v>
      </c>
    </row>
    <row r="180" spans="1:10">
      <c r="A180">
        <v>179</v>
      </c>
      <c r="B180" s="3">
        <v>46104.7289699074</v>
      </c>
      <c r="C180" t="s">
        <v>18</v>
      </c>
      <c r="D180" t="s">
        <v>23</v>
      </c>
      <c r="F180" s="4">
        <f>COUNTIFS(payments!$B$2:$B$203,A180,payments!$F$2:$F$203,"succeeded")</f>
        <v>1</v>
      </c>
      <c r="G180" s="4">
        <f>SUMIFS(payments!$G$2:$G$203,payments!$F$2:$F$203,"succeeded",payments!$B$2:$B$203,A180)</f>
        <v>19.99</v>
      </c>
      <c r="H180" s="4">
        <f>SUMIF(refunds!$G$2:$G$15,A180,refunds!$D$2:$D$15)</f>
        <v>0</v>
      </c>
      <c r="I180" s="4">
        <f>users[[#This Row],[paid_usd]]-users[[#This Row],[refunded_usd]]</f>
        <v>19.99</v>
      </c>
      <c r="J180" s="4">
        <f>IF(users[[#This Row],[successful_payments_count]]&gt;0,1,0)</f>
        <v>1</v>
      </c>
    </row>
    <row r="181" spans="1:10">
      <c r="A181">
        <v>180</v>
      </c>
      <c r="B181" s="3">
        <v>46158.109525463</v>
      </c>
      <c r="C181" t="s">
        <v>17</v>
      </c>
      <c r="D181" t="s">
        <v>23</v>
      </c>
      <c r="F181" s="4">
        <f>COUNTIFS(payments!$B$2:$B$203,A181,payments!$F$2:$F$203,"succeeded")</f>
        <v>0</v>
      </c>
      <c r="G181" s="4">
        <f>SUMIFS(payments!$G$2:$G$203,payments!$F$2:$F$203,"succeeded",payments!$B$2:$B$203,A181)</f>
        <v>0</v>
      </c>
      <c r="H181" s="4">
        <f>SUMIF(refunds!$G$2:$G$15,A181,refunds!$D$2:$D$15)</f>
        <v>0</v>
      </c>
      <c r="I181" s="4">
        <f>users[[#This Row],[paid_usd]]-users[[#This Row],[refunded_usd]]</f>
        <v>0</v>
      </c>
      <c r="J181" s="4">
        <f>IF(users[[#This Row],[successful_payments_count]]&gt;0,1,0)</f>
        <v>0</v>
      </c>
    </row>
    <row r="182" spans="1:10">
      <c r="A182">
        <v>181</v>
      </c>
      <c r="B182" s="3">
        <v>46118.5163773148</v>
      </c>
      <c r="C182" t="s">
        <v>14</v>
      </c>
      <c r="D182" t="s">
        <v>23</v>
      </c>
      <c r="F182" s="4">
        <f>COUNTIFS(payments!$B$2:$B$203,A182,payments!$F$2:$F$203,"succeeded")</f>
        <v>0</v>
      </c>
      <c r="G182" s="4">
        <f>SUMIFS(payments!$G$2:$G$203,payments!$F$2:$F$203,"succeeded",payments!$B$2:$B$203,A182)</f>
        <v>0</v>
      </c>
      <c r="H182" s="4">
        <f>SUMIF(refunds!$G$2:$G$15,A182,refunds!$D$2:$D$15)</f>
        <v>0</v>
      </c>
      <c r="I182" s="4">
        <f>users[[#This Row],[paid_usd]]-users[[#This Row],[refunded_usd]]</f>
        <v>0</v>
      </c>
      <c r="J182" s="4">
        <f>IF(users[[#This Row],[successful_payments_count]]&gt;0,1,0)</f>
        <v>0</v>
      </c>
    </row>
    <row r="183" spans="1:10">
      <c r="A183">
        <v>182</v>
      </c>
      <c r="B183" s="3">
        <v>46105.4231828704</v>
      </c>
      <c r="C183" t="s">
        <v>19</v>
      </c>
      <c r="D183" t="s">
        <v>22</v>
      </c>
      <c r="F183" s="4">
        <f>COUNTIFS(payments!$B$2:$B$203,A183,payments!$F$2:$F$203,"succeeded")</f>
        <v>1</v>
      </c>
      <c r="G183" s="4">
        <f>SUMIFS(payments!$G$2:$G$203,payments!$F$2:$F$203,"succeeded",payments!$B$2:$B$203,A183)</f>
        <v>4.99</v>
      </c>
      <c r="H183" s="4">
        <f>SUMIF(refunds!$G$2:$G$15,A183,refunds!$D$2:$D$15)</f>
        <v>0</v>
      </c>
      <c r="I183" s="4">
        <f>users[[#This Row],[paid_usd]]-users[[#This Row],[refunded_usd]]</f>
        <v>4.99</v>
      </c>
      <c r="J183" s="4">
        <f>IF(users[[#This Row],[successful_payments_count]]&gt;0,1,0)</f>
        <v>1</v>
      </c>
    </row>
    <row r="184" spans="1:10">
      <c r="A184">
        <v>183</v>
      </c>
      <c r="B184" s="3">
        <v>46067.2343171296</v>
      </c>
      <c r="C184" t="s">
        <v>15</v>
      </c>
      <c r="D184" t="s">
        <v>22</v>
      </c>
      <c r="F184" s="4">
        <f>COUNTIFS(payments!$B$2:$B$203,A184,payments!$F$2:$F$203,"succeeded")</f>
        <v>0</v>
      </c>
      <c r="G184" s="4">
        <f>SUMIFS(payments!$G$2:$G$203,payments!$F$2:$F$203,"succeeded",payments!$B$2:$B$203,A184)</f>
        <v>0</v>
      </c>
      <c r="H184" s="4">
        <f>SUMIF(refunds!$G$2:$G$15,A184,refunds!$D$2:$D$15)</f>
        <v>0</v>
      </c>
      <c r="I184" s="4">
        <f>users[[#This Row],[paid_usd]]-users[[#This Row],[refunded_usd]]</f>
        <v>0</v>
      </c>
      <c r="J184" s="4">
        <f>IF(users[[#This Row],[successful_payments_count]]&gt;0,1,0)</f>
        <v>0</v>
      </c>
    </row>
    <row r="185" spans="1:10">
      <c r="A185">
        <v>184</v>
      </c>
      <c r="B185" s="3">
        <v>46043.9392824074</v>
      </c>
      <c r="C185" t="s">
        <v>15</v>
      </c>
      <c r="D185" t="s">
        <v>4</v>
      </c>
      <c r="E185">
        <v>7</v>
      </c>
      <c r="F185" s="4">
        <f>COUNTIFS(payments!$B$2:$B$203,A185,payments!$F$2:$F$203,"succeeded")</f>
        <v>0</v>
      </c>
      <c r="G185" s="4">
        <f>SUMIFS(payments!$G$2:$G$203,payments!$F$2:$F$203,"succeeded",payments!$B$2:$B$203,A185)</f>
        <v>0</v>
      </c>
      <c r="H185" s="4">
        <f>SUMIF(refunds!$G$2:$G$15,A185,refunds!$D$2:$D$15)</f>
        <v>0</v>
      </c>
      <c r="I185" s="4">
        <f>users[[#This Row],[paid_usd]]-users[[#This Row],[refunded_usd]]</f>
        <v>0</v>
      </c>
      <c r="J185" s="4">
        <f>IF(users[[#This Row],[successful_payments_count]]&gt;0,1,0)</f>
        <v>0</v>
      </c>
    </row>
    <row r="186" spans="1:10">
      <c r="A186">
        <v>185</v>
      </c>
      <c r="B186" s="3">
        <v>46027.3357523148</v>
      </c>
      <c r="C186" t="s">
        <v>14</v>
      </c>
      <c r="D186" t="s">
        <v>23</v>
      </c>
      <c r="E186">
        <v>6</v>
      </c>
      <c r="F186" s="4">
        <f>COUNTIFS(payments!$B$2:$B$203,A186,payments!$F$2:$F$203,"succeeded")</f>
        <v>0</v>
      </c>
      <c r="G186" s="4">
        <f>SUMIFS(payments!$G$2:$G$203,payments!$F$2:$F$203,"succeeded",payments!$B$2:$B$203,A186)</f>
        <v>0</v>
      </c>
      <c r="H186" s="4">
        <f>SUMIF(refunds!$G$2:$G$15,A186,refunds!$D$2:$D$15)</f>
        <v>0</v>
      </c>
      <c r="I186" s="4">
        <f>users[[#This Row],[paid_usd]]-users[[#This Row],[refunded_usd]]</f>
        <v>0</v>
      </c>
      <c r="J186" s="4">
        <f>IF(users[[#This Row],[successful_payments_count]]&gt;0,1,0)</f>
        <v>0</v>
      </c>
    </row>
    <row r="187" spans="1:10">
      <c r="A187">
        <v>186</v>
      </c>
      <c r="B187" s="3">
        <v>46076.6248611111</v>
      </c>
      <c r="C187" t="s">
        <v>16</v>
      </c>
      <c r="D187" t="s">
        <v>4</v>
      </c>
      <c r="E187">
        <v>7</v>
      </c>
      <c r="F187" s="4">
        <f>COUNTIFS(payments!$B$2:$B$203,A187,payments!$F$2:$F$203,"succeeded")</f>
        <v>0</v>
      </c>
      <c r="G187" s="4">
        <f>SUMIFS(payments!$G$2:$G$203,payments!$F$2:$F$203,"succeeded",payments!$B$2:$B$203,A187)</f>
        <v>0</v>
      </c>
      <c r="H187" s="4">
        <f>SUMIF(refunds!$G$2:$G$15,A187,refunds!$D$2:$D$15)</f>
        <v>0</v>
      </c>
      <c r="I187" s="4">
        <f>users[[#This Row],[paid_usd]]-users[[#This Row],[refunded_usd]]</f>
        <v>0</v>
      </c>
      <c r="J187" s="4">
        <f>IF(users[[#This Row],[successful_payments_count]]&gt;0,1,0)</f>
        <v>0</v>
      </c>
    </row>
    <row r="188" spans="1:10">
      <c r="A188">
        <v>187</v>
      </c>
      <c r="B188" s="3">
        <v>46076.0555671296</v>
      </c>
      <c r="C188" t="s">
        <v>14</v>
      </c>
      <c r="D188" t="s">
        <v>4</v>
      </c>
      <c r="E188">
        <v>4</v>
      </c>
      <c r="F188" s="4">
        <f>COUNTIFS(payments!$B$2:$B$203,A188,payments!$F$2:$F$203,"succeeded")</f>
        <v>0</v>
      </c>
      <c r="G188" s="4">
        <f>SUMIFS(payments!$G$2:$G$203,payments!$F$2:$F$203,"succeeded",payments!$B$2:$B$203,A188)</f>
        <v>0</v>
      </c>
      <c r="H188" s="4">
        <f>SUMIF(refunds!$G$2:$G$15,A188,refunds!$D$2:$D$15)</f>
        <v>0</v>
      </c>
      <c r="I188" s="4">
        <f>users[[#This Row],[paid_usd]]-users[[#This Row],[refunded_usd]]</f>
        <v>0</v>
      </c>
      <c r="J188" s="4">
        <f>IF(users[[#This Row],[successful_payments_count]]&gt;0,1,0)</f>
        <v>0</v>
      </c>
    </row>
    <row r="189" spans="1:10">
      <c r="A189">
        <v>188</v>
      </c>
      <c r="B189" s="3">
        <v>46089.8219907407</v>
      </c>
      <c r="C189" t="s">
        <v>19</v>
      </c>
      <c r="D189" t="s">
        <v>22</v>
      </c>
      <c r="E189">
        <v>5</v>
      </c>
      <c r="F189" s="4">
        <f>COUNTIFS(payments!$B$2:$B$203,A189,payments!$F$2:$F$203,"succeeded")</f>
        <v>0</v>
      </c>
      <c r="G189" s="4">
        <f>SUMIFS(payments!$G$2:$G$203,payments!$F$2:$F$203,"succeeded",payments!$B$2:$B$203,A189)</f>
        <v>0</v>
      </c>
      <c r="H189" s="4">
        <f>SUMIF(refunds!$G$2:$G$15,A189,refunds!$D$2:$D$15)</f>
        <v>0</v>
      </c>
      <c r="I189" s="4">
        <f>users[[#This Row],[paid_usd]]-users[[#This Row],[refunded_usd]]</f>
        <v>0</v>
      </c>
      <c r="J189" s="4">
        <f>IF(users[[#This Row],[successful_payments_count]]&gt;0,1,0)</f>
        <v>0</v>
      </c>
    </row>
    <row r="190" spans="1:10">
      <c r="A190">
        <v>189</v>
      </c>
      <c r="B190" s="3">
        <v>46051.1690393519</v>
      </c>
      <c r="C190" t="s">
        <v>17</v>
      </c>
      <c r="D190" t="s">
        <v>22</v>
      </c>
      <c r="F190" s="4">
        <f>COUNTIFS(payments!$B$2:$B$203,A190,payments!$F$2:$F$203,"succeeded")</f>
        <v>0</v>
      </c>
      <c r="G190" s="4">
        <f>SUMIFS(payments!$G$2:$G$203,payments!$F$2:$F$203,"succeeded",payments!$B$2:$B$203,A190)</f>
        <v>0</v>
      </c>
      <c r="H190" s="4">
        <f>SUMIF(refunds!$G$2:$G$15,A190,refunds!$D$2:$D$15)</f>
        <v>0</v>
      </c>
      <c r="I190" s="4">
        <f>users[[#This Row],[paid_usd]]-users[[#This Row],[refunded_usd]]</f>
        <v>0</v>
      </c>
      <c r="J190" s="4">
        <f>IF(users[[#This Row],[successful_payments_count]]&gt;0,1,0)</f>
        <v>0</v>
      </c>
    </row>
    <row r="191" spans="1:10">
      <c r="A191">
        <v>190</v>
      </c>
      <c r="B191" s="3">
        <v>46152.4023958333</v>
      </c>
      <c r="C191" t="s">
        <v>18</v>
      </c>
      <c r="D191" t="s">
        <v>22</v>
      </c>
      <c r="E191">
        <v>4</v>
      </c>
      <c r="F191" s="4">
        <f>COUNTIFS(payments!$B$2:$B$203,A191,payments!$F$2:$F$203,"succeeded")</f>
        <v>0</v>
      </c>
      <c r="G191" s="4">
        <f>SUMIFS(payments!$G$2:$G$203,payments!$F$2:$F$203,"succeeded",payments!$B$2:$B$203,A191)</f>
        <v>0</v>
      </c>
      <c r="H191" s="4">
        <f>SUMIF(refunds!$G$2:$G$15,A191,refunds!$D$2:$D$15)</f>
        <v>0</v>
      </c>
      <c r="I191" s="4">
        <f>users[[#This Row],[paid_usd]]-users[[#This Row],[refunded_usd]]</f>
        <v>0</v>
      </c>
      <c r="J191" s="4">
        <f>IF(users[[#This Row],[successful_payments_count]]&gt;0,1,0)</f>
        <v>0</v>
      </c>
    </row>
    <row r="192" spans="1:10">
      <c r="A192">
        <v>191</v>
      </c>
      <c r="B192" s="3">
        <v>46163.4721875</v>
      </c>
      <c r="C192" t="s">
        <v>15</v>
      </c>
      <c r="D192" t="s">
        <v>22</v>
      </c>
      <c r="E192">
        <v>7</v>
      </c>
      <c r="F192" s="4">
        <f>COUNTIFS(payments!$B$2:$B$203,A192,payments!$F$2:$F$203,"succeeded")</f>
        <v>0</v>
      </c>
      <c r="G192" s="4">
        <f>SUMIFS(payments!$G$2:$G$203,payments!$F$2:$F$203,"succeeded",payments!$B$2:$B$203,A192)</f>
        <v>0</v>
      </c>
      <c r="H192" s="4">
        <f>SUMIF(refunds!$G$2:$G$15,A192,refunds!$D$2:$D$15)</f>
        <v>0</v>
      </c>
      <c r="I192" s="4">
        <f>users[[#This Row],[paid_usd]]-users[[#This Row],[refunded_usd]]</f>
        <v>0</v>
      </c>
      <c r="J192" s="4">
        <f>IF(users[[#This Row],[successful_payments_count]]&gt;0,1,0)</f>
        <v>0</v>
      </c>
    </row>
    <row r="193" spans="1:10">
      <c r="A193">
        <v>192</v>
      </c>
      <c r="B193" s="3">
        <v>46155.4836342593</v>
      </c>
      <c r="C193" t="s">
        <v>19</v>
      </c>
      <c r="D193" t="s">
        <v>4</v>
      </c>
      <c r="E193">
        <v>1</v>
      </c>
      <c r="F193" s="4">
        <f>COUNTIFS(payments!$B$2:$B$203,A193,payments!$F$2:$F$203,"succeeded")</f>
        <v>0</v>
      </c>
      <c r="G193" s="4">
        <f>SUMIFS(payments!$G$2:$G$203,payments!$F$2:$F$203,"succeeded",payments!$B$2:$B$203,A193)</f>
        <v>0</v>
      </c>
      <c r="H193" s="4">
        <f>SUMIF(refunds!$G$2:$G$15,A193,refunds!$D$2:$D$15)</f>
        <v>0</v>
      </c>
      <c r="I193" s="4">
        <f>users[[#This Row],[paid_usd]]-users[[#This Row],[refunded_usd]]</f>
        <v>0</v>
      </c>
      <c r="J193" s="4">
        <f>IF(users[[#This Row],[successful_payments_count]]&gt;0,1,0)</f>
        <v>0</v>
      </c>
    </row>
    <row r="194" spans="1:10">
      <c r="A194">
        <v>193</v>
      </c>
      <c r="B194" s="3">
        <v>46126.7231828704</v>
      </c>
      <c r="C194" t="s">
        <v>15</v>
      </c>
      <c r="D194" t="s">
        <v>4</v>
      </c>
      <c r="F194" s="4">
        <f>COUNTIFS(payments!$B$2:$B$203,A194,payments!$F$2:$F$203,"succeeded")</f>
        <v>0</v>
      </c>
      <c r="G194" s="4">
        <f>SUMIFS(payments!$G$2:$G$203,payments!$F$2:$F$203,"succeeded",payments!$B$2:$B$203,A194)</f>
        <v>0</v>
      </c>
      <c r="H194" s="4">
        <f>SUMIF(refunds!$G$2:$G$15,A194,refunds!$D$2:$D$15)</f>
        <v>0</v>
      </c>
      <c r="I194" s="4">
        <f>users[[#This Row],[paid_usd]]-users[[#This Row],[refunded_usd]]</f>
        <v>0</v>
      </c>
      <c r="J194" s="4">
        <f>IF(users[[#This Row],[successful_payments_count]]&gt;0,1,0)</f>
        <v>0</v>
      </c>
    </row>
    <row r="195" spans="1:10">
      <c r="A195">
        <v>194</v>
      </c>
      <c r="B195" s="3">
        <v>46077.8613078704</v>
      </c>
      <c r="C195" t="s">
        <v>16</v>
      </c>
      <c r="D195" t="s">
        <v>4</v>
      </c>
      <c r="E195">
        <v>3</v>
      </c>
      <c r="F195" s="4">
        <f>COUNTIFS(payments!$B$2:$B$203,A195,payments!$F$2:$F$203,"succeeded")</f>
        <v>0</v>
      </c>
      <c r="G195" s="4">
        <f>SUMIFS(payments!$G$2:$G$203,payments!$F$2:$F$203,"succeeded",payments!$B$2:$B$203,A195)</f>
        <v>0</v>
      </c>
      <c r="H195" s="4">
        <f>SUMIF(refunds!$G$2:$G$15,A195,refunds!$D$2:$D$15)</f>
        <v>0</v>
      </c>
      <c r="I195" s="4">
        <f>users[[#This Row],[paid_usd]]-users[[#This Row],[refunded_usd]]</f>
        <v>0</v>
      </c>
      <c r="J195" s="4">
        <f>IF(users[[#This Row],[successful_payments_count]]&gt;0,1,0)</f>
        <v>0</v>
      </c>
    </row>
    <row r="196" spans="1:10">
      <c r="A196">
        <v>195</v>
      </c>
      <c r="B196" s="3">
        <v>46177.0983449074</v>
      </c>
      <c r="C196" t="s">
        <v>17</v>
      </c>
      <c r="D196" t="s">
        <v>22</v>
      </c>
      <c r="F196" s="4">
        <f>COUNTIFS(payments!$B$2:$B$203,A196,payments!$F$2:$F$203,"succeeded")</f>
        <v>0</v>
      </c>
      <c r="G196" s="4">
        <f>SUMIFS(payments!$G$2:$G$203,payments!$F$2:$F$203,"succeeded",payments!$B$2:$B$203,A196)</f>
        <v>0</v>
      </c>
      <c r="H196" s="4">
        <f>SUMIF(refunds!$G$2:$G$15,A196,refunds!$D$2:$D$15)</f>
        <v>0</v>
      </c>
      <c r="I196" s="4">
        <f>users[[#This Row],[paid_usd]]-users[[#This Row],[refunded_usd]]</f>
        <v>0</v>
      </c>
      <c r="J196" s="4">
        <f>IF(users[[#This Row],[successful_payments_count]]&gt;0,1,0)</f>
        <v>0</v>
      </c>
    </row>
    <row r="197" spans="1:10">
      <c r="A197">
        <v>196</v>
      </c>
      <c r="B197" s="3">
        <v>46138.7314814815</v>
      </c>
      <c r="C197" t="s">
        <v>17</v>
      </c>
      <c r="D197" t="s">
        <v>4</v>
      </c>
      <c r="E197">
        <v>2</v>
      </c>
      <c r="F197" s="4">
        <f>COUNTIFS(payments!$B$2:$B$203,A197,payments!$F$2:$F$203,"succeeded")</f>
        <v>1</v>
      </c>
      <c r="G197" s="4">
        <f>SUMIFS(payments!$G$2:$G$203,payments!$F$2:$F$203,"succeeded",payments!$B$2:$B$203,A197)</f>
        <v>9.99</v>
      </c>
      <c r="H197" s="4">
        <f>SUMIF(refunds!$G$2:$G$15,A197,refunds!$D$2:$D$15)</f>
        <v>0</v>
      </c>
      <c r="I197" s="4">
        <f>users[[#This Row],[paid_usd]]-users[[#This Row],[refunded_usd]]</f>
        <v>9.99</v>
      </c>
      <c r="J197" s="4">
        <f>IF(users[[#This Row],[successful_payments_count]]&gt;0,1,0)</f>
        <v>1</v>
      </c>
    </row>
    <row r="198" spans="1:10">
      <c r="A198">
        <v>197</v>
      </c>
      <c r="B198" s="3">
        <v>46083.388900463</v>
      </c>
      <c r="C198" t="s">
        <v>17</v>
      </c>
      <c r="D198" t="s">
        <v>4</v>
      </c>
      <c r="E198">
        <v>6</v>
      </c>
      <c r="F198" s="4">
        <f>COUNTIFS(payments!$B$2:$B$203,A198,payments!$F$2:$F$203,"succeeded")</f>
        <v>0</v>
      </c>
      <c r="G198" s="4">
        <f>SUMIFS(payments!$G$2:$G$203,payments!$F$2:$F$203,"succeeded",payments!$B$2:$B$203,A198)</f>
        <v>0</v>
      </c>
      <c r="H198" s="4">
        <f>SUMIF(refunds!$G$2:$G$15,A198,refunds!$D$2:$D$15)</f>
        <v>0</v>
      </c>
      <c r="I198" s="4">
        <f>users[[#This Row],[paid_usd]]-users[[#This Row],[refunded_usd]]</f>
        <v>0</v>
      </c>
      <c r="J198" s="4">
        <f>IF(users[[#This Row],[successful_payments_count]]&gt;0,1,0)</f>
        <v>0</v>
      </c>
    </row>
    <row r="199" spans="1:10">
      <c r="A199">
        <v>198</v>
      </c>
      <c r="B199" s="3">
        <v>46167.8889467593</v>
      </c>
      <c r="C199" t="s">
        <v>18</v>
      </c>
      <c r="D199" t="s">
        <v>23</v>
      </c>
      <c r="E199">
        <v>6</v>
      </c>
      <c r="F199" s="4">
        <f>COUNTIFS(payments!$B$2:$B$203,A199,payments!$F$2:$F$203,"succeeded")</f>
        <v>0</v>
      </c>
      <c r="G199" s="4">
        <f>SUMIFS(payments!$G$2:$G$203,payments!$F$2:$F$203,"succeeded",payments!$B$2:$B$203,A199)</f>
        <v>0</v>
      </c>
      <c r="H199" s="4">
        <f>SUMIF(refunds!$G$2:$G$15,A199,refunds!$D$2:$D$15)</f>
        <v>0</v>
      </c>
      <c r="I199" s="4">
        <f>users[[#This Row],[paid_usd]]-users[[#This Row],[refunded_usd]]</f>
        <v>0</v>
      </c>
      <c r="J199" s="4">
        <f>IF(users[[#This Row],[successful_payments_count]]&gt;0,1,0)</f>
        <v>0</v>
      </c>
    </row>
    <row r="200" spans="1:10">
      <c r="A200">
        <v>199</v>
      </c>
      <c r="B200" s="3">
        <v>46143.3538194444</v>
      </c>
      <c r="C200" t="s">
        <v>14</v>
      </c>
      <c r="D200" t="s">
        <v>4</v>
      </c>
      <c r="E200">
        <v>7</v>
      </c>
      <c r="F200" s="4">
        <f>COUNTIFS(payments!$B$2:$B$203,A200,payments!$F$2:$F$203,"succeeded")</f>
        <v>2</v>
      </c>
      <c r="G200" s="4">
        <f>SUMIFS(payments!$G$2:$G$203,payments!$F$2:$F$203,"succeeded",payments!$B$2:$B$203,A200)</f>
        <v>14.98</v>
      </c>
      <c r="H200" s="4">
        <f>SUMIF(refunds!$G$2:$G$15,A200,refunds!$D$2:$D$15)</f>
        <v>0</v>
      </c>
      <c r="I200" s="4">
        <f>users[[#This Row],[paid_usd]]-users[[#This Row],[refunded_usd]]</f>
        <v>14.98</v>
      </c>
      <c r="J200" s="4">
        <f>IF(users[[#This Row],[successful_payments_count]]&gt;0,1,0)</f>
        <v>1</v>
      </c>
    </row>
    <row r="201" spans="1:10">
      <c r="A201">
        <v>200</v>
      </c>
      <c r="B201" s="3">
        <v>46170.7968402778</v>
      </c>
      <c r="C201" t="s">
        <v>17</v>
      </c>
      <c r="D201" t="s">
        <v>22</v>
      </c>
      <c r="E201">
        <v>4</v>
      </c>
      <c r="F201" s="4">
        <f>COUNTIFS(payments!$B$2:$B$203,A201,payments!$F$2:$F$203,"succeeded")</f>
        <v>0</v>
      </c>
      <c r="G201" s="4">
        <f>SUMIFS(payments!$G$2:$G$203,payments!$F$2:$F$203,"succeeded",payments!$B$2:$B$203,A201)</f>
        <v>0</v>
      </c>
      <c r="H201" s="4">
        <f>SUMIF(refunds!$G$2:$G$15,A201,refunds!$D$2:$D$15)</f>
        <v>0</v>
      </c>
      <c r="I201" s="4">
        <f>users[[#This Row],[paid_usd]]-users[[#This Row],[refunded_usd]]</f>
        <v>0</v>
      </c>
      <c r="J201" s="4">
        <f>IF(users[[#This Row],[successful_payments_count]]&gt;0,1,0)</f>
        <v>0</v>
      </c>
    </row>
    <row r="202" spans="1:10">
      <c r="A202">
        <v>201</v>
      </c>
      <c r="B202" s="3">
        <v>46121.5902662037</v>
      </c>
      <c r="C202" t="s">
        <v>16</v>
      </c>
      <c r="D202" t="s">
        <v>23</v>
      </c>
      <c r="E202">
        <v>3</v>
      </c>
      <c r="F202" s="4">
        <f>COUNTIFS(payments!$B$2:$B$203,A202,payments!$F$2:$F$203,"succeeded")</f>
        <v>0</v>
      </c>
      <c r="G202" s="4">
        <f>SUMIFS(payments!$G$2:$G$203,payments!$F$2:$F$203,"succeeded",payments!$B$2:$B$203,A202)</f>
        <v>0</v>
      </c>
      <c r="H202" s="4">
        <f>SUMIF(refunds!$G$2:$G$15,A202,refunds!$D$2:$D$15)</f>
        <v>0</v>
      </c>
      <c r="I202" s="4">
        <f>users[[#This Row],[paid_usd]]-users[[#This Row],[refunded_usd]]</f>
        <v>0</v>
      </c>
      <c r="J202" s="4">
        <f>IF(users[[#This Row],[successful_payments_count]]&gt;0,1,0)</f>
        <v>0</v>
      </c>
    </row>
    <row r="203" spans="1:10">
      <c r="A203">
        <v>202</v>
      </c>
      <c r="B203" s="3">
        <v>46079.7277662037</v>
      </c>
      <c r="C203" t="s">
        <v>16</v>
      </c>
      <c r="D203" t="s">
        <v>22</v>
      </c>
      <c r="F203" s="4">
        <f>COUNTIFS(payments!$B$2:$B$203,A203,payments!$F$2:$F$203,"succeeded")</f>
        <v>0</v>
      </c>
      <c r="G203" s="4">
        <f>SUMIFS(payments!$G$2:$G$203,payments!$F$2:$F$203,"succeeded",payments!$B$2:$B$203,A203)</f>
        <v>0</v>
      </c>
      <c r="H203" s="4">
        <f>SUMIF(refunds!$G$2:$G$15,A203,refunds!$D$2:$D$15)</f>
        <v>0</v>
      </c>
      <c r="I203" s="4">
        <f>users[[#This Row],[paid_usd]]-users[[#This Row],[refunded_usd]]</f>
        <v>0</v>
      </c>
      <c r="J203" s="4">
        <f>IF(users[[#This Row],[successful_payments_count]]&gt;0,1,0)</f>
        <v>0</v>
      </c>
    </row>
    <row r="204" spans="1:10">
      <c r="A204">
        <v>203</v>
      </c>
      <c r="B204" s="3">
        <v>46124.4452430556</v>
      </c>
      <c r="C204" t="s">
        <v>19</v>
      </c>
      <c r="D204" t="s">
        <v>23</v>
      </c>
      <c r="E204">
        <v>2</v>
      </c>
      <c r="F204" s="4">
        <f>COUNTIFS(payments!$B$2:$B$203,A204,payments!$F$2:$F$203,"succeeded")</f>
        <v>0</v>
      </c>
      <c r="G204" s="4">
        <f>SUMIFS(payments!$G$2:$G$203,payments!$F$2:$F$203,"succeeded",payments!$B$2:$B$203,A204)</f>
        <v>0</v>
      </c>
      <c r="H204" s="4">
        <f>SUMIF(refunds!$G$2:$G$15,A204,refunds!$D$2:$D$15)</f>
        <v>0</v>
      </c>
      <c r="I204" s="4">
        <f>users[[#This Row],[paid_usd]]-users[[#This Row],[refunded_usd]]</f>
        <v>0</v>
      </c>
      <c r="J204" s="4">
        <f>IF(users[[#This Row],[successful_payments_count]]&gt;0,1,0)</f>
        <v>0</v>
      </c>
    </row>
    <row r="205" spans="1:10">
      <c r="A205">
        <v>204</v>
      </c>
      <c r="B205" s="3">
        <v>46104.6340740741</v>
      </c>
      <c r="C205" t="s">
        <v>14</v>
      </c>
      <c r="D205" t="s">
        <v>23</v>
      </c>
      <c r="E205">
        <v>3</v>
      </c>
      <c r="F205" s="4">
        <f>COUNTIFS(payments!$B$2:$B$203,A205,payments!$F$2:$F$203,"succeeded")</f>
        <v>0</v>
      </c>
      <c r="G205" s="4">
        <f>SUMIFS(payments!$G$2:$G$203,payments!$F$2:$F$203,"succeeded",payments!$B$2:$B$203,A205)</f>
        <v>0</v>
      </c>
      <c r="H205" s="4">
        <f>SUMIF(refunds!$G$2:$G$15,A205,refunds!$D$2:$D$15)</f>
        <v>0</v>
      </c>
      <c r="I205" s="4">
        <f>users[[#This Row],[paid_usd]]-users[[#This Row],[refunded_usd]]</f>
        <v>0</v>
      </c>
      <c r="J205" s="4">
        <f>IF(users[[#This Row],[successful_payments_count]]&gt;0,1,0)</f>
        <v>0</v>
      </c>
    </row>
    <row r="206" spans="1:10">
      <c r="A206">
        <v>205</v>
      </c>
      <c r="B206" s="3">
        <v>46130.4697685185</v>
      </c>
      <c r="C206" t="s">
        <v>18</v>
      </c>
      <c r="D206" t="s">
        <v>22</v>
      </c>
      <c r="E206">
        <v>3</v>
      </c>
      <c r="F206" s="4">
        <f>COUNTIFS(payments!$B$2:$B$203,A206,payments!$F$2:$F$203,"succeeded")</f>
        <v>0</v>
      </c>
      <c r="G206" s="4">
        <f>SUMIFS(payments!$G$2:$G$203,payments!$F$2:$F$203,"succeeded",payments!$B$2:$B$203,A206)</f>
        <v>0</v>
      </c>
      <c r="H206" s="4">
        <f>SUMIF(refunds!$G$2:$G$15,A206,refunds!$D$2:$D$15)</f>
        <v>0</v>
      </c>
      <c r="I206" s="4">
        <f>users[[#This Row],[paid_usd]]-users[[#This Row],[refunded_usd]]</f>
        <v>0</v>
      </c>
      <c r="J206" s="4">
        <f>IF(users[[#This Row],[successful_payments_count]]&gt;0,1,0)</f>
        <v>0</v>
      </c>
    </row>
    <row r="207" spans="1:10">
      <c r="A207">
        <v>206</v>
      </c>
      <c r="B207" s="3">
        <v>46192.0432175926</v>
      </c>
      <c r="C207" t="s">
        <v>14</v>
      </c>
      <c r="D207" t="s">
        <v>4</v>
      </c>
      <c r="E207">
        <v>2</v>
      </c>
      <c r="F207" s="4">
        <f>COUNTIFS(payments!$B$2:$B$203,A207,payments!$F$2:$F$203,"succeeded")</f>
        <v>0</v>
      </c>
      <c r="G207" s="4">
        <f>SUMIFS(payments!$G$2:$G$203,payments!$F$2:$F$203,"succeeded",payments!$B$2:$B$203,A207)</f>
        <v>0</v>
      </c>
      <c r="H207" s="4">
        <f>SUMIF(refunds!$G$2:$G$15,A207,refunds!$D$2:$D$15)</f>
        <v>0</v>
      </c>
      <c r="I207" s="4">
        <f>users[[#This Row],[paid_usd]]-users[[#This Row],[refunded_usd]]</f>
        <v>0</v>
      </c>
      <c r="J207" s="4">
        <f>IF(users[[#This Row],[successful_payments_count]]&gt;0,1,0)</f>
        <v>0</v>
      </c>
    </row>
    <row r="208" spans="1:10">
      <c r="A208">
        <v>207</v>
      </c>
      <c r="B208" s="3">
        <v>46053.8809606481</v>
      </c>
      <c r="C208" t="s">
        <v>17</v>
      </c>
      <c r="D208" t="s">
        <v>4</v>
      </c>
      <c r="E208">
        <v>4</v>
      </c>
      <c r="F208" s="4">
        <f>COUNTIFS(payments!$B$2:$B$203,A208,payments!$F$2:$F$203,"succeeded")</f>
        <v>0</v>
      </c>
      <c r="G208" s="4">
        <f>SUMIFS(payments!$G$2:$G$203,payments!$F$2:$F$203,"succeeded",payments!$B$2:$B$203,A208)</f>
        <v>0</v>
      </c>
      <c r="H208" s="4">
        <f>SUMIF(refunds!$G$2:$G$15,A208,refunds!$D$2:$D$15)</f>
        <v>0</v>
      </c>
      <c r="I208" s="4">
        <f>users[[#This Row],[paid_usd]]-users[[#This Row],[refunded_usd]]</f>
        <v>0</v>
      </c>
      <c r="J208" s="4">
        <f>IF(users[[#This Row],[successful_payments_count]]&gt;0,1,0)</f>
        <v>0</v>
      </c>
    </row>
    <row r="209" spans="1:10">
      <c r="A209">
        <v>208</v>
      </c>
      <c r="B209" s="3">
        <v>46039.6907407407</v>
      </c>
      <c r="C209" t="s">
        <v>19</v>
      </c>
      <c r="D209" t="s">
        <v>4</v>
      </c>
      <c r="E209">
        <v>6</v>
      </c>
      <c r="F209" s="4">
        <f>COUNTIFS(payments!$B$2:$B$203,A209,payments!$F$2:$F$203,"succeeded")</f>
        <v>0</v>
      </c>
      <c r="G209" s="4">
        <f>SUMIFS(payments!$G$2:$G$203,payments!$F$2:$F$203,"succeeded",payments!$B$2:$B$203,A209)</f>
        <v>0</v>
      </c>
      <c r="H209" s="4">
        <f>SUMIF(refunds!$G$2:$G$15,A209,refunds!$D$2:$D$15)</f>
        <v>0</v>
      </c>
      <c r="I209" s="4">
        <f>users[[#This Row],[paid_usd]]-users[[#This Row],[refunded_usd]]</f>
        <v>0</v>
      </c>
      <c r="J209" s="4">
        <f>IF(users[[#This Row],[successful_payments_count]]&gt;0,1,0)</f>
        <v>0</v>
      </c>
    </row>
    <row r="210" spans="1:10">
      <c r="A210">
        <v>209</v>
      </c>
      <c r="B210" s="3">
        <v>46045.4521064815</v>
      </c>
      <c r="C210" t="s">
        <v>16</v>
      </c>
      <c r="D210" t="s">
        <v>22</v>
      </c>
      <c r="E210">
        <v>7</v>
      </c>
      <c r="F210" s="4">
        <f>COUNTIFS(payments!$B$2:$B$203,A210,payments!$F$2:$F$203,"succeeded")</f>
        <v>0</v>
      </c>
      <c r="G210" s="4">
        <f>SUMIFS(payments!$G$2:$G$203,payments!$F$2:$F$203,"succeeded",payments!$B$2:$B$203,A210)</f>
        <v>0</v>
      </c>
      <c r="H210" s="4">
        <f>SUMIF(refunds!$G$2:$G$15,A210,refunds!$D$2:$D$15)</f>
        <v>0</v>
      </c>
      <c r="I210" s="4">
        <f>users[[#This Row],[paid_usd]]-users[[#This Row],[refunded_usd]]</f>
        <v>0</v>
      </c>
      <c r="J210" s="4">
        <f>IF(users[[#This Row],[successful_payments_count]]&gt;0,1,0)</f>
        <v>0</v>
      </c>
    </row>
    <row r="211" spans="1:10">
      <c r="A211">
        <v>210</v>
      </c>
      <c r="B211" s="3">
        <v>46060.3166319444</v>
      </c>
      <c r="C211" t="s">
        <v>18</v>
      </c>
      <c r="D211" t="s">
        <v>22</v>
      </c>
      <c r="F211" s="4">
        <f>COUNTIFS(payments!$B$2:$B$203,A211,payments!$F$2:$F$203,"succeeded")</f>
        <v>0</v>
      </c>
      <c r="G211" s="4">
        <f>SUMIFS(payments!$G$2:$G$203,payments!$F$2:$F$203,"succeeded",payments!$B$2:$B$203,A211)</f>
        <v>0</v>
      </c>
      <c r="H211" s="4">
        <f>SUMIF(refunds!$G$2:$G$15,A211,refunds!$D$2:$D$15)</f>
        <v>0</v>
      </c>
      <c r="I211" s="4">
        <f>users[[#This Row],[paid_usd]]-users[[#This Row],[refunded_usd]]</f>
        <v>0</v>
      </c>
      <c r="J211" s="4">
        <f>IF(users[[#This Row],[successful_payments_count]]&gt;0,1,0)</f>
        <v>0</v>
      </c>
    </row>
    <row r="212" spans="1:10">
      <c r="A212">
        <v>211</v>
      </c>
      <c r="B212" s="3">
        <v>46185.1522337963</v>
      </c>
      <c r="C212" t="s">
        <v>18</v>
      </c>
      <c r="D212" t="s">
        <v>22</v>
      </c>
      <c r="F212" s="4">
        <f>COUNTIFS(payments!$B$2:$B$203,A212,payments!$F$2:$F$203,"succeeded")</f>
        <v>0</v>
      </c>
      <c r="G212" s="4">
        <f>SUMIFS(payments!$G$2:$G$203,payments!$F$2:$F$203,"succeeded",payments!$B$2:$B$203,A212)</f>
        <v>0</v>
      </c>
      <c r="H212" s="4">
        <f>SUMIF(refunds!$G$2:$G$15,A212,refunds!$D$2:$D$15)</f>
        <v>0</v>
      </c>
      <c r="I212" s="4">
        <f>users[[#This Row],[paid_usd]]-users[[#This Row],[refunded_usd]]</f>
        <v>0</v>
      </c>
      <c r="J212" s="4">
        <f>IF(users[[#This Row],[successful_payments_count]]&gt;0,1,0)</f>
        <v>0</v>
      </c>
    </row>
    <row r="213" spans="1:10">
      <c r="A213">
        <v>212</v>
      </c>
      <c r="B213" s="3">
        <v>46033.9383912037</v>
      </c>
      <c r="C213" t="s">
        <v>19</v>
      </c>
      <c r="D213" t="s">
        <v>22</v>
      </c>
      <c r="E213">
        <v>7</v>
      </c>
      <c r="F213" s="4">
        <f>COUNTIFS(payments!$B$2:$B$203,A213,payments!$F$2:$F$203,"succeeded")</f>
        <v>2</v>
      </c>
      <c r="G213" s="4">
        <f>SUMIFS(payments!$G$2:$G$203,payments!$F$2:$F$203,"succeeded",payments!$B$2:$B$203,A213)</f>
        <v>24.98</v>
      </c>
      <c r="H213" s="4">
        <f>SUMIF(refunds!$G$2:$G$15,A213,refunds!$D$2:$D$15)</f>
        <v>0</v>
      </c>
      <c r="I213" s="4">
        <f>users[[#This Row],[paid_usd]]-users[[#This Row],[refunded_usd]]</f>
        <v>24.98</v>
      </c>
      <c r="J213" s="4">
        <f>IF(users[[#This Row],[successful_payments_count]]&gt;0,1,0)</f>
        <v>1</v>
      </c>
    </row>
    <row r="214" spans="1:10">
      <c r="A214">
        <v>213</v>
      </c>
      <c r="B214" s="3">
        <v>46039.5072685185</v>
      </c>
      <c r="C214" t="s">
        <v>15</v>
      </c>
      <c r="D214" t="s">
        <v>4</v>
      </c>
      <c r="E214">
        <v>7</v>
      </c>
      <c r="F214" s="4">
        <f>COUNTIFS(payments!$B$2:$B$203,A214,payments!$F$2:$F$203,"succeeded")</f>
        <v>0</v>
      </c>
      <c r="G214" s="4">
        <f>SUMIFS(payments!$G$2:$G$203,payments!$F$2:$F$203,"succeeded",payments!$B$2:$B$203,A214)</f>
        <v>0</v>
      </c>
      <c r="H214" s="4">
        <f>SUMIF(refunds!$G$2:$G$15,A214,refunds!$D$2:$D$15)</f>
        <v>0</v>
      </c>
      <c r="I214" s="4">
        <f>users[[#This Row],[paid_usd]]-users[[#This Row],[refunded_usd]]</f>
        <v>0</v>
      </c>
      <c r="J214" s="4">
        <f>IF(users[[#This Row],[successful_payments_count]]&gt;0,1,0)</f>
        <v>0</v>
      </c>
    </row>
    <row r="215" spans="1:10">
      <c r="A215">
        <v>214</v>
      </c>
      <c r="B215" s="3">
        <v>46037.0916435185</v>
      </c>
      <c r="C215" t="s">
        <v>14</v>
      </c>
      <c r="D215" t="s">
        <v>22</v>
      </c>
      <c r="E215">
        <v>1</v>
      </c>
      <c r="F215" s="4">
        <f>COUNTIFS(payments!$B$2:$B$203,A215,payments!$F$2:$F$203,"succeeded")</f>
        <v>3</v>
      </c>
      <c r="G215" s="4">
        <f>SUMIFS(payments!$G$2:$G$203,payments!$F$2:$F$203,"succeeded",payments!$B$2:$B$203,A215)</f>
        <v>33.97</v>
      </c>
      <c r="H215" s="4">
        <f>SUMIF(refunds!$G$2:$G$15,A215,refunds!$D$2:$D$15)</f>
        <v>9.99</v>
      </c>
      <c r="I215" s="4">
        <f>users[[#This Row],[paid_usd]]-users[[#This Row],[refunded_usd]]</f>
        <v>23.98</v>
      </c>
      <c r="J215" s="4">
        <f>IF(users[[#This Row],[successful_payments_count]]&gt;0,1,0)</f>
        <v>1</v>
      </c>
    </row>
    <row r="216" spans="1:10">
      <c r="A216">
        <v>215</v>
      </c>
      <c r="B216" s="3">
        <v>46153.2403240741</v>
      </c>
      <c r="C216" t="s">
        <v>16</v>
      </c>
      <c r="D216" t="s">
        <v>22</v>
      </c>
      <c r="E216">
        <v>2</v>
      </c>
      <c r="F216" s="4">
        <f>COUNTIFS(payments!$B$2:$B$203,A216,payments!$F$2:$F$203,"succeeded")</f>
        <v>0</v>
      </c>
      <c r="G216" s="4">
        <f>SUMIFS(payments!$G$2:$G$203,payments!$F$2:$F$203,"succeeded",payments!$B$2:$B$203,A216)</f>
        <v>0</v>
      </c>
      <c r="H216" s="4">
        <f>SUMIF(refunds!$G$2:$G$15,A216,refunds!$D$2:$D$15)</f>
        <v>0</v>
      </c>
      <c r="I216" s="4">
        <f>users[[#This Row],[paid_usd]]-users[[#This Row],[refunded_usd]]</f>
        <v>0</v>
      </c>
      <c r="J216" s="4">
        <f>IF(users[[#This Row],[successful_payments_count]]&gt;0,1,0)</f>
        <v>0</v>
      </c>
    </row>
    <row r="217" spans="1:10">
      <c r="A217">
        <v>216</v>
      </c>
      <c r="B217" s="3">
        <v>46024.4238425926</v>
      </c>
      <c r="C217" t="s">
        <v>15</v>
      </c>
      <c r="D217" t="s">
        <v>4</v>
      </c>
      <c r="E217">
        <v>2</v>
      </c>
      <c r="F217" s="4">
        <f>COUNTIFS(payments!$B$2:$B$203,A217,payments!$F$2:$F$203,"succeeded")</f>
        <v>0</v>
      </c>
      <c r="G217" s="4">
        <f>SUMIFS(payments!$G$2:$G$203,payments!$F$2:$F$203,"succeeded",payments!$B$2:$B$203,A217)</f>
        <v>0</v>
      </c>
      <c r="H217" s="4">
        <f>SUMIF(refunds!$G$2:$G$15,A217,refunds!$D$2:$D$15)</f>
        <v>0</v>
      </c>
      <c r="I217" s="4">
        <f>users[[#This Row],[paid_usd]]-users[[#This Row],[refunded_usd]]</f>
        <v>0</v>
      </c>
      <c r="J217" s="4">
        <f>IF(users[[#This Row],[successful_payments_count]]&gt;0,1,0)</f>
        <v>0</v>
      </c>
    </row>
    <row r="218" spans="1:10">
      <c r="A218">
        <v>217</v>
      </c>
      <c r="B218" s="3">
        <v>46135.9857291667</v>
      </c>
      <c r="C218" t="s">
        <v>15</v>
      </c>
      <c r="D218" t="s">
        <v>23</v>
      </c>
      <c r="F218" s="4">
        <f>COUNTIFS(payments!$B$2:$B$203,A218,payments!$F$2:$F$203,"succeeded")</f>
        <v>1</v>
      </c>
      <c r="G218" s="4">
        <f>SUMIFS(payments!$G$2:$G$203,payments!$F$2:$F$203,"succeeded",payments!$B$2:$B$203,A218)</f>
        <v>19.99</v>
      </c>
      <c r="H218" s="4">
        <f>SUMIF(refunds!$G$2:$G$15,A218,refunds!$D$2:$D$15)</f>
        <v>0</v>
      </c>
      <c r="I218" s="4">
        <f>users[[#This Row],[paid_usd]]-users[[#This Row],[refunded_usd]]</f>
        <v>19.99</v>
      </c>
      <c r="J218" s="4">
        <f>IF(users[[#This Row],[successful_payments_count]]&gt;0,1,0)</f>
        <v>1</v>
      </c>
    </row>
    <row r="219" spans="1:10">
      <c r="A219">
        <v>218</v>
      </c>
      <c r="B219" s="3">
        <v>46080.3500694444</v>
      </c>
      <c r="C219" t="s">
        <v>18</v>
      </c>
      <c r="D219" t="s">
        <v>4</v>
      </c>
      <c r="E219">
        <v>7</v>
      </c>
      <c r="F219" s="4">
        <f>COUNTIFS(payments!$B$2:$B$203,A219,payments!$F$2:$F$203,"succeeded")</f>
        <v>0</v>
      </c>
      <c r="G219" s="4">
        <f>SUMIFS(payments!$G$2:$G$203,payments!$F$2:$F$203,"succeeded",payments!$B$2:$B$203,A219)</f>
        <v>0</v>
      </c>
      <c r="H219" s="4">
        <f>SUMIF(refunds!$G$2:$G$15,A219,refunds!$D$2:$D$15)</f>
        <v>0</v>
      </c>
      <c r="I219" s="4">
        <f>users[[#This Row],[paid_usd]]-users[[#This Row],[refunded_usd]]</f>
        <v>0</v>
      </c>
      <c r="J219" s="4">
        <f>IF(users[[#This Row],[successful_payments_count]]&gt;0,1,0)</f>
        <v>0</v>
      </c>
    </row>
    <row r="220" spans="1:10">
      <c r="A220">
        <v>219</v>
      </c>
      <c r="B220" s="3">
        <v>46055.029224537</v>
      </c>
      <c r="C220" t="s">
        <v>19</v>
      </c>
      <c r="D220" t="s">
        <v>22</v>
      </c>
      <c r="E220">
        <v>4</v>
      </c>
      <c r="F220" s="4">
        <f>COUNTIFS(payments!$B$2:$B$203,A220,payments!$F$2:$F$203,"succeeded")</f>
        <v>0</v>
      </c>
      <c r="G220" s="4">
        <f>SUMIFS(payments!$G$2:$G$203,payments!$F$2:$F$203,"succeeded",payments!$B$2:$B$203,A220)</f>
        <v>0</v>
      </c>
      <c r="H220" s="4">
        <f>SUMIF(refunds!$G$2:$G$15,A220,refunds!$D$2:$D$15)</f>
        <v>0</v>
      </c>
      <c r="I220" s="4">
        <f>users[[#This Row],[paid_usd]]-users[[#This Row],[refunded_usd]]</f>
        <v>0</v>
      </c>
      <c r="J220" s="4">
        <f>IF(users[[#This Row],[successful_payments_count]]&gt;0,1,0)</f>
        <v>0</v>
      </c>
    </row>
    <row r="221" spans="1:10">
      <c r="A221">
        <v>220</v>
      </c>
      <c r="B221" s="3">
        <v>46163.8466087963</v>
      </c>
      <c r="C221" t="s">
        <v>18</v>
      </c>
      <c r="D221" t="s">
        <v>23</v>
      </c>
      <c r="F221" s="4">
        <f>COUNTIFS(payments!$B$2:$B$203,A221,payments!$F$2:$F$203,"succeeded")</f>
        <v>0</v>
      </c>
      <c r="G221" s="4">
        <f>SUMIFS(payments!$G$2:$G$203,payments!$F$2:$F$203,"succeeded",payments!$B$2:$B$203,A221)</f>
        <v>0</v>
      </c>
      <c r="H221" s="4">
        <f>SUMIF(refunds!$G$2:$G$15,A221,refunds!$D$2:$D$15)</f>
        <v>0</v>
      </c>
      <c r="I221" s="4">
        <f>users[[#This Row],[paid_usd]]-users[[#This Row],[refunded_usd]]</f>
        <v>0</v>
      </c>
      <c r="J221" s="4">
        <f>IF(users[[#This Row],[successful_payments_count]]&gt;0,1,0)</f>
        <v>0</v>
      </c>
    </row>
    <row r="222" spans="1:10">
      <c r="A222">
        <v>221</v>
      </c>
      <c r="B222" s="3">
        <v>46148.4871180556</v>
      </c>
      <c r="C222" t="s">
        <v>18</v>
      </c>
      <c r="D222" t="s">
        <v>23</v>
      </c>
      <c r="E222">
        <v>1</v>
      </c>
      <c r="F222" s="4">
        <f>COUNTIFS(payments!$B$2:$B$203,A222,payments!$F$2:$F$203,"succeeded")</f>
        <v>0</v>
      </c>
      <c r="G222" s="4">
        <f>SUMIFS(payments!$G$2:$G$203,payments!$F$2:$F$203,"succeeded",payments!$B$2:$B$203,A222)</f>
        <v>0</v>
      </c>
      <c r="H222" s="4">
        <f>SUMIF(refunds!$G$2:$G$15,A222,refunds!$D$2:$D$15)</f>
        <v>0</v>
      </c>
      <c r="I222" s="4">
        <f>users[[#This Row],[paid_usd]]-users[[#This Row],[refunded_usd]]</f>
        <v>0</v>
      </c>
      <c r="J222" s="4">
        <f>IF(users[[#This Row],[successful_payments_count]]&gt;0,1,0)</f>
        <v>0</v>
      </c>
    </row>
    <row r="223" spans="1:10">
      <c r="A223">
        <v>222</v>
      </c>
      <c r="B223" s="3">
        <v>46089.3206712963</v>
      </c>
      <c r="C223" t="s">
        <v>15</v>
      </c>
      <c r="D223" t="s">
        <v>4</v>
      </c>
      <c r="E223">
        <v>4</v>
      </c>
      <c r="F223" s="4">
        <f>COUNTIFS(payments!$B$2:$B$203,A223,payments!$F$2:$F$203,"succeeded")</f>
        <v>0</v>
      </c>
      <c r="G223" s="4">
        <f>SUMIFS(payments!$G$2:$G$203,payments!$F$2:$F$203,"succeeded",payments!$B$2:$B$203,A223)</f>
        <v>0</v>
      </c>
      <c r="H223" s="4">
        <f>SUMIF(refunds!$G$2:$G$15,A223,refunds!$D$2:$D$15)</f>
        <v>0</v>
      </c>
      <c r="I223" s="4">
        <f>users[[#This Row],[paid_usd]]-users[[#This Row],[refunded_usd]]</f>
        <v>0</v>
      </c>
      <c r="J223" s="4">
        <f>IF(users[[#This Row],[successful_payments_count]]&gt;0,1,0)</f>
        <v>0</v>
      </c>
    </row>
    <row r="224" spans="1:10">
      <c r="A224">
        <v>223</v>
      </c>
      <c r="B224" s="3">
        <v>46038.256099537</v>
      </c>
      <c r="C224" t="s">
        <v>15</v>
      </c>
      <c r="D224" t="s">
        <v>23</v>
      </c>
      <c r="E224">
        <v>2</v>
      </c>
      <c r="F224" s="4">
        <f>COUNTIFS(payments!$B$2:$B$203,A224,payments!$F$2:$F$203,"succeeded")</f>
        <v>0</v>
      </c>
      <c r="G224" s="4">
        <f>SUMIFS(payments!$G$2:$G$203,payments!$F$2:$F$203,"succeeded",payments!$B$2:$B$203,A224)</f>
        <v>0</v>
      </c>
      <c r="H224" s="4">
        <f>SUMIF(refunds!$G$2:$G$15,A224,refunds!$D$2:$D$15)</f>
        <v>0</v>
      </c>
      <c r="I224" s="4">
        <f>users[[#This Row],[paid_usd]]-users[[#This Row],[refunded_usd]]</f>
        <v>0</v>
      </c>
      <c r="J224" s="4">
        <f>IF(users[[#This Row],[successful_payments_count]]&gt;0,1,0)</f>
        <v>0</v>
      </c>
    </row>
    <row r="225" spans="1:10">
      <c r="A225">
        <v>224</v>
      </c>
      <c r="B225" s="3">
        <v>46070.4981481481</v>
      </c>
      <c r="C225" t="s">
        <v>16</v>
      </c>
      <c r="D225" t="s">
        <v>4</v>
      </c>
      <c r="E225">
        <v>1</v>
      </c>
      <c r="F225" s="4">
        <f>COUNTIFS(payments!$B$2:$B$203,A225,payments!$F$2:$F$203,"succeeded")</f>
        <v>0</v>
      </c>
      <c r="G225" s="4">
        <f>SUMIFS(payments!$G$2:$G$203,payments!$F$2:$F$203,"succeeded",payments!$B$2:$B$203,A225)</f>
        <v>0</v>
      </c>
      <c r="H225" s="4">
        <f>SUMIF(refunds!$G$2:$G$15,A225,refunds!$D$2:$D$15)</f>
        <v>0</v>
      </c>
      <c r="I225" s="4">
        <f>users[[#This Row],[paid_usd]]-users[[#This Row],[refunded_usd]]</f>
        <v>0</v>
      </c>
      <c r="J225" s="4">
        <f>IF(users[[#This Row],[successful_payments_count]]&gt;0,1,0)</f>
        <v>0</v>
      </c>
    </row>
    <row r="226" spans="1:10">
      <c r="A226">
        <v>225</v>
      </c>
      <c r="B226" s="3">
        <v>46111.7647222222</v>
      </c>
      <c r="C226" t="s">
        <v>15</v>
      </c>
      <c r="D226" t="s">
        <v>23</v>
      </c>
      <c r="E226">
        <v>1</v>
      </c>
      <c r="F226" s="4">
        <f>COUNTIFS(payments!$B$2:$B$203,A226,payments!$F$2:$F$203,"succeeded")</f>
        <v>0</v>
      </c>
      <c r="G226" s="4">
        <f>SUMIFS(payments!$G$2:$G$203,payments!$F$2:$F$203,"succeeded",payments!$B$2:$B$203,A226)</f>
        <v>0</v>
      </c>
      <c r="H226" s="4">
        <f>SUMIF(refunds!$G$2:$G$15,A226,refunds!$D$2:$D$15)</f>
        <v>0</v>
      </c>
      <c r="I226" s="4">
        <f>users[[#This Row],[paid_usd]]-users[[#This Row],[refunded_usd]]</f>
        <v>0</v>
      </c>
      <c r="J226" s="4">
        <f>IF(users[[#This Row],[successful_payments_count]]&gt;0,1,0)</f>
        <v>0</v>
      </c>
    </row>
    <row r="227" spans="1:10">
      <c r="A227">
        <v>226</v>
      </c>
      <c r="B227" s="3">
        <v>46061.9142592593</v>
      </c>
      <c r="C227" t="s">
        <v>16</v>
      </c>
      <c r="D227" t="s">
        <v>22</v>
      </c>
      <c r="E227">
        <v>5</v>
      </c>
      <c r="F227" s="4">
        <f>COUNTIFS(payments!$B$2:$B$203,A227,payments!$F$2:$F$203,"succeeded")</f>
        <v>0</v>
      </c>
      <c r="G227" s="4">
        <f>SUMIFS(payments!$G$2:$G$203,payments!$F$2:$F$203,"succeeded",payments!$B$2:$B$203,A227)</f>
        <v>0</v>
      </c>
      <c r="H227" s="4">
        <f>SUMIF(refunds!$G$2:$G$15,A227,refunds!$D$2:$D$15)</f>
        <v>0</v>
      </c>
      <c r="I227" s="4">
        <f>users[[#This Row],[paid_usd]]-users[[#This Row],[refunded_usd]]</f>
        <v>0</v>
      </c>
      <c r="J227" s="4">
        <f>IF(users[[#This Row],[successful_payments_count]]&gt;0,1,0)</f>
        <v>0</v>
      </c>
    </row>
    <row r="228" spans="1:10">
      <c r="A228">
        <v>227</v>
      </c>
      <c r="B228" s="3">
        <v>46119.8318287037</v>
      </c>
      <c r="C228" t="s">
        <v>17</v>
      </c>
      <c r="D228" t="s">
        <v>4</v>
      </c>
      <c r="E228">
        <v>6</v>
      </c>
      <c r="F228" s="4">
        <f>COUNTIFS(payments!$B$2:$B$203,A228,payments!$F$2:$F$203,"succeeded")</f>
        <v>0</v>
      </c>
      <c r="G228" s="4">
        <f>SUMIFS(payments!$G$2:$G$203,payments!$F$2:$F$203,"succeeded",payments!$B$2:$B$203,A228)</f>
        <v>0</v>
      </c>
      <c r="H228" s="4">
        <f>SUMIF(refunds!$G$2:$G$15,A228,refunds!$D$2:$D$15)</f>
        <v>0</v>
      </c>
      <c r="I228" s="4">
        <f>users[[#This Row],[paid_usd]]-users[[#This Row],[refunded_usd]]</f>
        <v>0</v>
      </c>
      <c r="J228" s="4">
        <f>IF(users[[#This Row],[successful_payments_count]]&gt;0,1,0)</f>
        <v>0</v>
      </c>
    </row>
    <row r="229" spans="1:10">
      <c r="A229">
        <v>228</v>
      </c>
      <c r="B229" s="3">
        <v>46078.0715393519</v>
      </c>
      <c r="C229" t="s">
        <v>15</v>
      </c>
      <c r="D229" t="s">
        <v>22</v>
      </c>
      <c r="F229" s="4">
        <f>COUNTIFS(payments!$B$2:$B$203,A229,payments!$F$2:$F$203,"succeeded")</f>
        <v>0</v>
      </c>
      <c r="G229" s="4">
        <f>SUMIFS(payments!$G$2:$G$203,payments!$F$2:$F$203,"succeeded",payments!$B$2:$B$203,A229)</f>
        <v>0</v>
      </c>
      <c r="H229" s="4">
        <f>SUMIF(refunds!$G$2:$G$15,A229,refunds!$D$2:$D$15)</f>
        <v>0</v>
      </c>
      <c r="I229" s="4">
        <f>users[[#This Row],[paid_usd]]-users[[#This Row],[refunded_usd]]</f>
        <v>0</v>
      </c>
      <c r="J229" s="4">
        <f>IF(users[[#This Row],[successful_payments_count]]&gt;0,1,0)</f>
        <v>0</v>
      </c>
    </row>
    <row r="230" spans="1:10">
      <c r="A230">
        <v>229</v>
      </c>
      <c r="B230" s="3">
        <v>46120.4289930556</v>
      </c>
      <c r="C230" t="s">
        <v>14</v>
      </c>
      <c r="D230" t="s">
        <v>4</v>
      </c>
      <c r="E230">
        <v>6</v>
      </c>
      <c r="F230" s="4">
        <f>COUNTIFS(payments!$B$2:$B$203,A230,payments!$F$2:$F$203,"succeeded")</f>
        <v>2</v>
      </c>
      <c r="G230" s="4">
        <f>SUMIFS(payments!$G$2:$G$203,payments!$F$2:$F$203,"succeeded",payments!$B$2:$B$203,A230)</f>
        <v>14.98</v>
      </c>
      <c r="H230" s="4">
        <f>SUMIF(refunds!$G$2:$G$15,A230,refunds!$D$2:$D$15)</f>
        <v>0</v>
      </c>
      <c r="I230" s="4">
        <f>users[[#This Row],[paid_usd]]-users[[#This Row],[refunded_usd]]</f>
        <v>14.98</v>
      </c>
      <c r="J230" s="4">
        <f>IF(users[[#This Row],[successful_payments_count]]&gt;0,1,0)</f>
        <v>1</v>
      </c>
    </row>
    <row r="231" spans="1:10">
      <c r="A231">
        <v>230</v>
      </c>
      <c r="B231" s="3">
        <v>46192.6091203704</v>
      </c>
      <c r="C231" t="s">
        <v>16</v>
      </c>
      <c r="D231" t="s">
        <v>23</v>
      </c>
      <c r="E231">
        <v>3</v>
      </c>
      <c r="F231" s="4">
        <f>COUNTIFS(payments!$B$2:$B$203,A231,payments!$F$2:$F$203,"succeeded")</f>
        <v>1</v>
      </c>
      <c r="G231" s="4">
        <f>SUMIFS(payments!$G$2:$G$203,payments!$F$2:$F$203,"succeeded",payments!$B$2:$B$203,A231)</f>
        <v>9.99</v>
      </c>
      <c r="H231" s="4">
        <f>SUMIF(refunds!$G$2:$G$15,A231,refunds!$D$2:$D$15)</f>
        <v>0</v>
      </c>
      <c r="I231" s="4">
        <f>users[[#This Row],[paid_usd]]-users[[#This Row],[refunded_usd]]</f>
        <v>9.99</v>
      </c>
      <c r="J231" s="4">
        <f>IF(users[[#This Row],[successful_payments_count]]&gt;0,1,0)</f>
        <v>1</v>
      </c>
    </row>
    <row r="232" spans="1:10">
      <c r="A232">
        <v>231</v>
      </c>
      <c r="B232" s="3">
        <v>46061.2930324074</v>
      </c>
      <c r="C232" t="s">
        <v>18</v>
      </c>
      <c r="D232" t="s">
        <v>4</v>
      </c>
      <c r="F232" s="4">
        <f>COUNTIFS(payments!$B$2:$B$203,A232,payments!$F$2:$F$203,"succeeded")</f>
        <v>2</v>
      </c>
      <c r="G232" s="4">
        <f>SUMIFS(payments!$G$2:$G$203,payments!$F$2:$F$203,"succeeded",payments!$B$2:$B$203,A232)</f>
        <v>24.98</v>
      </c>
      <c r="H232" s="4">
        <f>SUMIF(refunds!$G$2:$G$15,A232,refunds!$D$2:$D$15)</f>
        <v>0</v>
      </c>
      <c r="I232" s="4">
        <f>users[[#This Row],[paid_usd]]-users[[#This Row],[refunded_usd]]</f>
        <v>24.98</v>
      </c>
      <c r="J232" s="4">
        <f>IF(users[[#This Row],[successful_payments_count]]&gt;0,1,0)</f>
        <v>1</v>
      </c>
    </row>
    <row r="233" spans="1:10">
      <c r="A233">
        <v>232</v>
      </c>
      <c r="B233" s="3">
        <v>46051.2702893519</v>
      </c>
      <c r="C233" t="s">
        <v>17</v>
      </c>
      <c r="D233" t="s">
        <v>23</v>
      </c>
      <c r="E233">
        <v>7</v>
      </c>
      <c r="F233" s="4">
        <f>COUNTIFS(payments!$B$2:$B$203,A233,payments!$F$2:$F$203,"succeeded")</f>
        <v>0</v>
      </c>
      <c r="G233" s="4">
        <f>SUMIFS(payments!$G$2:$G$203,payments!$F$2:$F$203,"succeeded",payments!$B$2:$B$203,A233)</f>
        <v>0</v>
      </c>
      <c r="H233" s="4">
        <f>SUMIF(refunds!$G$2:$G$15,A233,refunds!$D$2:$D$15)</f>
        <v>0</v>
      </c>
      <c r="I233" s="4">
        <f>users[[#This Row],[paid_usd]]-users[[#This Row],[refunded_usd]]</f>
        <v>0</v>
      </c>
      <c r="J233" s="4">
        <f>IF(users[[#This Row],[successful_payments_count]]&gt;0,1,0)</f>
        <v>0</v>
      </c>
    </row>
    <row r="234" spans="1:10">
      <c r="A234">
        <v>233</v>
      </c>
      <c r="B234" s="3">
        <v>46184.259837963</v>
      </c>
      <c r="C234" t="s">
        <v>18</v>
      </c>
      <c r="D234" t="s">
        <v>22</v>
      </c>
      <c r="E234">
        <v>7</v>
      </c>
      <c r="F234" s="4">
        <f>COUNTIFS(payments!$B$2:$B$203,A234,payments!$F$2:$F$203,"succeeded")</f>
        <v>0</v>
      </c>
      <c r="G234" s="4">
        <f>SUMIFS(payments!$G$2:$G$203,payments!$F$2:$F$203,"succeeded",payments!$B$2:$B$203,A234)</f>
        <v>0</v>
      </c>
      <c r="H234" s="4">
        <f>SUMIF(refunds!$G$2:$G$15,A234,refunds!$D$2:$D$15)</f>
        <v>0</v>
      </c>
      <c r="I234" s="4">
        <f>users[[#This Row],[paid_usd]]-users[[#This Row],[refunded_usd]]</f>
        <v>0</v>
      </c>
      <c r="J234" s="4">
        <f>IF(users[[#This Row],[successful_payments_count]]&gt;0,1,0)</f>
        <v>0</v>
      </c>
    </row>
    <row r="235" spans="1:10">
      <c r="A235">
        <v>234</v>
      </c>
      <c r="B235" s="3">
        <v>46117.1600694444</v>
      </c>
      <c r="C235" t="s">
        <v>18</v>
      </c>
      <c r="D235" t="s">
        <v>22</v>
      </c>
      <c r="E235">
        <v>5</v>
      </c>
      <c r="F235" s="4">
        <f>COUNTIFS(payments!$B$2:$B$203,A235,payments!$F$2:$F$203,"succeeded")</f>
        <v>0</v>
      </c>
      <c r="G235" s="4">
        <f>SUMIFS(payments!$G$2:$G$203,payments!$F$2:$F$203,"succeeded",payments!$B$2:$B$203,A235)</f>
        <v>0</v>
      </c>
      <c r="H235" s="4">
        <f>SUMIF(refunds!$G$2:$G$15,A235,refunds!$D$2:$D$15)</f>
        <v>0</v>
      </c>
      <c r="I235" s="4">
        <f>users[[#This Row],[paid_usd]]-users[[#This Row],[refunded_usd]]</f>
        <v>0</v>
      </c>
      <c r="J235" s="4">
        <f>IF(users[[#This Row],[successful_payments_count]]&gt;0,1,0)</f>
        <v>0</v>
      </c>
    </row>
    <row r="236" spans="1:10">
      <c r="A236">
        <v>235</v>
      </c>
      <c r="B236" s="3">
        <v>46072.2916087963</v>
      </c>
      <c r="C236" t="s">
        <v>15</v>
      </c>
      <c r="D236" t="s">
        <v>22</v>
      </c>
      <c r="F236" s="4">
        <f>COUNTIFS(payments!$B$2:$B$203,A236,payments!$F$2:$F$203,"succeeded")</f>
        <v>0</v>
      </c>
      <c r="G236" s="4">
        <f>SUMIFS(payments!$G$2:$G$203,payments!$F$2:$F$203,"succeeded",payments!$B$2:$B$203,A236)</f>
        <v>0</v>
      </c>
      <c r="H236" s="4">
        <f>SUMIF(refunds!$G$2:$G$15,A236,refunds!$D$2:$D$15)</f>
        <v>0</v>
      </c>
      <c r="I236" s="4">
        <f>users[[#This Row],[paid_usd]]-users[[#This Row],[refunded_usd]]</f>
        <v>0</v>
      </c>
      <c r="J236" s="4">
        <f>IF(users[[#This Row],[successful_payments_count]]&gt;0,1,0)</f>
        <v>0</v>
      </c>
    </row>
    <row r="237" spans="1:10">
      <c r="A237">
        <v>236</v>
      </c>
      <c r="B237" s="3">
        <v>46190.7480555556</v>
      </c>
      <c r="C237" t="s">
        <v>16</v>
      </c>
      <c r="D237" t="s">
        <v>22</v>
      </c>
      <c r="E237">
        <v>7</v>
      </c>
      <c r="F237" s="4">
        <f>COUNTIFS(payments!$B$2:$B$203,A237,payments!$F$2:$F$203,"succeeded")</f>
        <v>1</v>
      </c>
      <c r="G237" s="4">
        <f>SUMIFS(payments!$G$2:$G$203,payments!$F$2:$F$203,"succeeded",payments!$B$2:$B$203,A237)</f>
        <v>4.99</v>
      </c>
      <c r="H237" s="4">
        <f>SUMIF(refunds!$G$2:$G$15,A237,refunds!$D$2:$D$15)</f>
        <v>0</v>
      </c>
      <c r="I237" s="4">
        <f>users[[#This Row],[paid_usd]]-users[[#This Row],[refunded_usd]]</f>
        <v>4.99</v>
      </c>
      <c r="J237" s="4">
        <f>IF(users[[#This Row],[successful_payments_count]]&gt;0,1,0)</f>
        <v>1</v>
      </c>
    </row>
    <row r="238" spans="1:10">
      <c r="A238">
        <v>237</v>
      </c>
      <c r="B238" s="3">
        <v>46045.3425347222</v>
      </c>
      <c r="C238" t="s">
        <v>17</v>
      </c>
      <c r="D238" t="s">
        <v>4</v>
      </c>
      <c r="E238">
        <v>5</v>
      </c>
      <c r="F238" s="4">
        <f>COUNTIFS(payments!$B$2:$B$203,A238,payments!$F$2:$F$203,"succeeded")</f>
        <v>0</v>
      </c>
      <c r="G238" s="4">
        <f>SUMIFS(payments!$G$2:$G$203,payments!$F$2:$F$203,"succeeded",payments!$B$2:$B$203,A238)</f>
        <v>0</v>
      </c>
      <c r="H238" s="4">
        <f>SUMIF(refunds!$G$2:$G$15,A238,refunds!$D$2:$D$15)</f>
        <v>0</v>
      </c>
      <c r="I238" s="4">
        <f>users[[#This Row],[paid_usd]]-users[[#This Row],[refunded_usd]]</f>
        <v>0</v>
      </c>
      <c r="J238" s="4">
        <f>IF(users[[#This Row],[successful_payments_count]]&gt;0,1,0)</f>
        <v>0</v>
      </c>
    </row>
    <row r="239" spans="1:10">
      <c r="A239">
        <v>238</v>
      </c>
      <c r="B239" s="3">
        <v>46122.0594907407</v>
      </c>
      <c r="C239" t="s">
        <v>17</v>
      </c>
      <c r="D239" t="s">
        <v>22</v>
      </c>
      <c r="F239" s="4">
        <f>COUNTIFS(payments!$B$2:$B$203,A239,payments!$F$2:$F$203,"succeeded")</f>
        <v>0</v>
      </c>
      <c r="G239" s="4">
        <f>SUMIFS(payments!$G$2:$G$203,payments!$F$2:$F$203,"succeeded",payments!$B$2:$B$203,A239)</f>
        <v>0</v>
      </c>
      <c r="H239" s="4">
        <f>SUMIF(refunds!$G$2:$G$15,A239,refunds!$D$2:$D$15)</f>
        <v>0</v>
      </c>
      <c r="I239" s="4">
        <f>users[[#This Row],[paid_usd]]-users[[#This Row],[refunded_usd]]</f>
        <v>0</v>
      </c>
      <c r="J239" s="4">
        <f>IF(users[[#This Row],[successful_payments_count]]&gt;0,1,0)</f>
        <v>0</v>
      </c>
    </row>
    <row r="240" spans="1:10">
      <c r="A240">
        <v>239</v>
      </c>
      <c r="B240" s="3">
        <v>46057.0959722222</v>
      </c>
      <c r="C240" t="s">
        <v>17</v>
      </c>
      <c r="D240" t="s">
        <v>23</v>
      </c>
      <c r="E240">
        <v>4</v>
      </c>
      <c r="F240" s="4">
        <f>COUNTIFS(payments!$B$2:$B$203,A240,payments!$F$2:$F$203,"succeeded")</f>
        <v>1</v>
      </c>
      <c r="G240" s="4">
        <f>SUMIFS(payments!$G$2:$G$203,payments!$F$2:$F$203,"succeeded",payments!$B$2:$B$203,A240)</f>
        <v>19.99</v>
      </c>
      <c r="H240" s="4">
        <f>SUMIF(refunds!$G$2:$G$15,A240,refunds!$D$2:$D$15)</f>
        <v>0</v>
      </c>
      <c r="I240" s="4">
        <f>users[[#This Row],[paid_usd]]-users[[#This Row],[refunded_usd]]</f>
        <v>19.99</v>
      </c>
      <c r="J240" s="4">
        <f>IF(users[[#This Row],[successful_payments_count]]&gt;0,1,0)</f>
        <v>1</v>
      </c>
    </row>
    <row r="241" spans="1:10">
      <c r="A241">
        <v>240</v>
      </c>
      <c r="B241" s="3">
        <v>46148.202037037</v>
      </c>
      <c r="C241" t="s">
        <v>15</v>
      </c>
      <c r="D241" t="s">
        <v>23</v>
      </c>
      <c r="E241">
        <v>5</v>
      </c>
      <c r="F241" s="4">
        <f>COUNTIFS(payments!$B$2:$B$203,A241,payments!$F$2:$F$203,"succeeded")</f>
        <v>0</v>
      </c>
      <c r="G241" s="4">
        <f>SUMIFS(payments!$G$2:$G$203,payments!$F$2:$F$203,"succeeded",payments!$B$2:$B$203,A241)</f>
        <v>0</v>
      </c>
      <c r="H241" s="4">
        <f>SUMIF(refunds!$G$2:$G$15,A241,refunds!$D$2:$D$15)</f>
        <v>0</v>
      </c>
      <c r="I241" s="4">
        <f>users[[#This Row],[paid_usd]]-users[[#This Row],[refunded_usd]]</f>
        <v>0</v>
      </c>
      <c r="J241" s="4">
        <f>IF(users[[#This Row],[successful_payments_count]]&gt;0,1,0)</f>
        <v>0</v>
      </c>
    </row>
    <row r="242" spans="1:10">
      <c r="A242">
        <v>241</v>
      </c>
      <c r="B242" s="3">
        <v>46141.3815046296</v>
      </c>
      <c r="C242" t="s">
        <v>19</v>
      </c>
      <c r="D242" t="s">
        <v>22</v>
      </c>
      <c r="E242">
        <v>4</v>
      </c>
      <c r="F242" s="4">
        <f>COUNTIFS(payments!$B$2:$B$203,A242,payments!$F$2:$F$203,"succeeded")</f>
        <v>0</v>
      </c>
      <c r="G242" s="4">
        <f>SUMIFS(payments!$G$2:$G$203,payments!$F$2:$F$203,"succeeded",payments!$B$2:$B$203,A242)</f>
        <v>0</v>
      </c>
      <c r="H242" s="4">
        <f>SUMIF(refunds!$G$2:$G$15,A242,refunds!$D$2:$D$15)</f>
        <v>0</v>
      </c>
      <c r="I242" s="4">
        <f>users[[#This Row],[paid_usd]]-users[[#This Row],[refunded_usd]]</f>
        <v>0</v>
      </c>
      <c r="J242" s="4">
        <f>IF(users[[#This Row],[successful_payments_count]]&gt;0,1,0)</f>
        <v>0</v>
      </c>
    </row>
    <row r="243" spans="1:10">
      <c r="A243">
        <v>242</v>
      </c>
      <c r="B243" s="3">
        <v>46110.5151273148</v>
      </c>
      <c r="C243" t="s">
        <v>19</v>
      </c>
      <c r="D243" t="s">
        <v>22</v>
      </c>
      <c r="E243">
        <v>6</v>
      </c>
      <c r="F243" s="4">
        <f>COUNTIFS(payments!$B$2:$B$203,A243,payments!$F$2:$F$203,"succeeded")</f>
        <v>0</v>
      </c>
      <c r="G243" s="4">
        <f>SUMIFS(payments!$G$2:$G$203,payments!$F$2:$F$203,"succeeded",payments!$B$2:$B$203,A243)</f>
        <v>0</v>
      </c>
      <c r="H243" s="4">
        <f>SUMIF(refunds!$G$2:$G$15,A243,refunds!$D$2:$D$15)</f>
        <v>0</v>
      </c>
      <c r="I243" s="4">
        <f>users[[#This Row],[paid_usd]]-users[[#This Row],[refunded_usd]]</f>
        <v>0</v>
      </c>
      <c r="J243" s="4">
        <f>IF(users[[#This Row],[successful_payments_count]]&gt;0,1,0)</f>
        <v>0</v>
      </c>
    </row>
    <row r="244" spans="1:10">
      <c r="A244">
        <v>243</v>
      </c>
      <c r="B244" s="3">
        <v>46124.7496759259</v>
      </c>
      <c r="C244" t="s">
        <v>16</v>
      </c>
      <c r="D244" t="s">
        <v>22</v>
      </c>
      <c r="E244">
        <v>6</v>
      </c>
      <c r="F244" s="4">
        <f>COUNTIFS(payments!$B$2:$B$203,A244,payments!$F$2:$F$203,"succeeded")</f>
        <v>0</v>
      </c>
      <c r="G244" s="4">
        <f>SUMIFS(payments!$G$2:$G$203,payments!$F$2:$F$203,"succeeded",payments!$B$2:$B$203,A244)</f>
        <v>0</v>
      </c>
      <c r="H244" s="4">
        <f>SUMIF(refunds!$G$2:$G$15,A244,refunds!$D$2:$D$15)</f>
        <v>0</v>
      </c>
      <c r="I244" s="4">
        <f>users[[#This Row],[paid_usd]]-users[[#This Row],[refunded_usd]]</f>
        <v>0</v>
      </c>
      <c r="J244" s="4">
        <f>IF(users[[#This Row],[successful_payments_count]]&gt;0,1,0)</f>
        <v>0</v>
      </c>
    </row>
    <row r="245" spans="1:10">
      <c r="A245">
        <v>244</v>
      </c>
      <c r="B245" s="3">
        <v>46192.2051273148</v>
      </c>
      <c r="C245" t="s">
        <v>16</v>
      </c>
      <c r="D245" t="s">
        <v>23</v>
      </c>
      <c r="E245">
        <v>7</v>
      </c>
      <c r="F245" s="4">
        <f>COUNTIFS(payments!$B$2:$B$203,A245,payments!$F$2:$F$203,"succeeded")</f>
        <v>0</v>
      </c>
      <c r="G245" s="4">
        <f>SUMIFS(payments!$G$2:$G$203,payments!$F$2:$F$203,"succeeded",payments!$B$2:$B$203,A245)</f>
        <v>0</v>
      </c>
      <c r="H245" s="4">
        <f>SUMIF(refunds!$G$2:$G$15,A245,refunds!$D$2:$D$15)</f>
        <v>0</v>
      </c>
      <c r="I245" s="4">
        <f>users[[#This Row],[paid_usd]]-users[[#This Row],[refunded_usd]]</f>
        <v>0</v>
      </c>
      <c r="J245" s="4">
        <f>IF(users[[#This Row],[successful_payments_count]]&gt;0,1,0)</f>
        <v>0</v>
      </c>
    </row>
    <row r="246" spans="1:10">
      <c r="A246">
        <v>245</v>
      </c>
      <c r="B246" s="3">
        <v>46062.931087963</v>
      </c>
      <c r="C246" t="s">
        <v>15</v>
      </c>
      <c r="D246" t="s">
        <v>22</v>
      </c>
      <c r="E246">
        <v>1</v>
      </c>
      <c r="F246" s="4">
        <f>COUNTIFS(payments!$B$2:$B$203,A246,payments!$F$2:$F$203,"succeeded")</f>
        <v>0</v>
      </c>
      <c r="G246" s="4">
        <f>SUMIFS(payments!$G$2:$G$203,payments!$F$2:$F$203,"succeeded",payments!$B$2:$B$203,A246)</f>
        <v>0</v>
      </c>
      <c r="H246" s="4">
        <f>SUMIF(refunds!$G$2:$G$15,A246,refunds!$D$2:$D$15)</f>
        <v>0</v>
      </c>
      <c r="I246" s="4">
        <f>users[[#This Row],[paid_usd]]-users[[#This Row],[refunded_usd]]</f>
        <v>0</v>
      </c>
      <c r="J246" s="4">
        <f>IF(users[[#This Row],[successful_payments_count]]&gt;0,1,0)</f>
        <v>0</v>
      </c>
    </row>
    <row r="247" spans="1:10">
      <c r="A247">
        <v>246</v>
      </c>
      <c r="B247" s="3">
        <v>46106.7774537037</v>
      </c>
      <c r="C247" t="s">
        <v>19</v>
      </c>
      <c r="D247" t="s">
        <v>4</v>
      </c>
      <c r="F247" s="4">
        <f>COUNTIFS(payments!$B$2:$B$203,A247,payments!$F$2:$F$203,"succeeded")</f>
        <v>2</v>
      </c>
      <c r="G247" s="4">
        <f>SUMIFS(payments!$G$2:$G$203,payments!$F$2:$F$203,"succeeded",payments!$B$2:$B$203,A247)</f>
        <v>29.98</v>
      </c>
      <c r="H247" s="4">
        <f>SUMIF(refunds!$G$2:$G$15,A247,refunds!$D$2:$D$15)</f>
        <v>19.99</v>
      </c>
      <c r="I247" s="4">
        <f>users[[#This Row],[paid_usd]]-users[[#This Row],[refunded_usd]]</f>
        <v>9.99</v>
      </c>
      <c r="J247" s="4">
        <f>IF(users[[#This Row],[successful_payments_count]]&gt;0,1,0)</f>
        <v>1</v>
      </c>
    </row>
    <row r="248" spans="1:10">
      <c r="A248">
        <v>247</v>
      </c>
      <c r="B248" s="3">
        <v>46157.168287037</v>
      </c>
      <c r="C248" t="s">
        <v>19</v>
      </c>
      <c r="D248" t="s">
        <v>4</v>
      </c>
      <c r="E248">
        <v>7</v>
      </c>
      <c r="F248" s="4">
        <f>COUNTIFS(payments!$B$2:$B$203,A248,payments!$F$2:$F$203,"succeeded")</f>
        <v>1</v>
      </c>
      <c r="G248" s="4">
        <f>SUMIFS(payments!$G$2:$G$203,payments!$F$2:$F$203,"succeeded",payments!$B$2:$B$203,A248)</f>
        <v>19.99</v>
      </c>
      <c r="H248" s="4">
        <f>SUMIF(refunds!$G$2:$G$15,A248,refunds!$D$2:$D$15)</f>
        <v>0</v>
      </c>
      <c r="I248" s="4">
        <f>users[[#This Row],[paid_usd]]-users[[#This Row],[refunded_usd]]</f>
        <v>19.99</v>
      </c>
      <c r="J248" s="4">
        <f>IF(users[[#This Row],[successful_payments_count]]&gt;0,1,0)</f>
        <v>1</v>
      </c>
    </row>
    <row r="249" spans="1:10">
      <c r="A249">
        <v>248</v>
      </c>
      <c r="B249" s="3">
        <v>46179.8156481481</v>
      </c>
      <c r="C249" t="s">
        <v>15</v>
      </c>
      <c r="D249" t="s">
        <v>4</v>
      </c>
      <c r="F249" s="4">
        <f>COUNTIFS(payments!$B$2:$B$203,A249,payments!$F$2:$F$203,"succeeded")</f>
        <v>0</v>
      </c>
      <c r="G249" s="4">
        <f>SUMIFS(payments!$G$2:$G$203,payments!$F$2:$F$203,"succeeded",payments!$B$2:$B$203,A249)</f>
        <v>0</v>
      </c>
      <c r="H249" s="4">
        <f>SUMIF(refunds!$G$2:$G$15,A249,refunds!$D$2:$D$15)</f>
        <v>0</v>
      </c>
      <c r="I249" s="4">
        <f>users[[#This Row],[paid_usd]]-users[[#This Row],[refunded_usd]]</f>
        <v>0</v>
      </c>
      <c r="J249" s="4">
        <f>IF(users[[#This Row],[successful_payments_count]]&gt;0,1,0)</f>
        <v>0</v>
      </c>
    </row>
    <row r="250" spans="1:10">
      <c r="A250">
        <v>249</v>
      </c>
      <c r="B250" s="3">
        <v>46085.0968634259</v>
      </c>
      <c r="C250" t="s">
        <v>19</v>
      </c>
      <c r="D250" t="s">
        <v>23</v>
      </c>
      <c r="E250">
        <v>4</v>
      </c>
      <c r="F250" s="4">
        <f>COUNTIFS(payments!$B$2:$B$203,A250,payments!$F$2:$F$203,"succeeded")</f>
        <v>1</v>
      </c>
      <c r="G250" s="4">
        <f>SUMIFS(payments!$G$2:$G$203,payments!$F$2:$F$203,"succeeded",payments!$B$2:$B$203,A250)</f>
        <v>9.99</v>
      </c>
      <c r="H250" s="4">
        <f>SUMIF(refunds!$G$2:$G$15,A250,refunds!$D$2:$D$15)</f>
        <v>0</v>
      </c>
      <c r="I250" s="4">
        <f>users[[#This Row],[paid_usd]]-users[[#This Row],[refunded_usd]]</f>
        <v>9.99</v>
      </c>
      <c r="J250" s="4">
        <f>IF(users[[#This Row],[successful_payments_count]]&gt;0,1,0)</f>
        <v>1</v>
      </c>
    </row>
    <row r="251" spans="1:10">
      <c r="A251">
        <v>250</v>
      </c>
      <c r="B251" s="3">
        <v>46090.4780208333</v>
      </c>
      <c r="C251" t="s">
        <v>14</v>
      </c>
      <c r="D251" t="s">
        <v>22</v>
      </c>
      <c r="E251">
        <v>1</v>
      </c>
      <c r="F251" s="4">
        <f>COUNTIFS(payments!$B$2:$B$203,A251,payments!$F$2:$F$203,"succeeded")</f>
        <v>0</v>
      </c>
      <c r="G251" s="4">
        <f>SUMIFS(payments!$G$2:$G$203,payments!$F$2:$F$203,"succeeded",payments!$B$2:$B$203,A251)</f>
        <v>0</v>
      </c>
      <c r="H251" s="4">
        <f>SUMIF(refunds!$G$2:$G$15,A251,refunds!$D$2:$D$15)</f>
        <v>0</v>
      </c>
      <c r="I251" s="4">
        <f>users[[#This Row],[paid_usd]]-users[[#This Row],[refunded_usd]]</f>
        <v>0</v>
      </c>
      <c r="J251" s="4">
        <f>IF(users[[#This Row],[successful_payments_count]]&gt;0,1,0)</f>
        <v>0</v>
      </c>
    </row>
    <row r="252" spans="1:10">
      <c r="A252">
        <v>251</v>
      </c>
      <c r="B252" s="3">
        <v>46126.5222685185</v>
      </c>
      <c r="C252" t="s">
        <v>16</v>
      </c>
      <c r="D252" t="s">
        <v>23</v>
      </c>
      <c r="E252">
        <v>5</v>
      </c>
      <c r="F252" s="4">
        <f>COUNTIFS(payments!$B$2:$B$203,A252,payments!$F$2:$F$203,"succeeded")</f>
        <v>0</v>
      </c>
      <c r="G252" s="4">
        <f>SUMIFS(payments!$G$2:$G$203,payments!$F$2:$F$203,"succeeded",payments!$B$2:$B$203,A252)</f>
        <v>0</v>
      </c>
      <c r="H252" s="4">
        <f>SUMIF(refunds!$G$2:$G$15,A252,refunds!$D$2:$D$15)</f>
        <v>0</v>
      </c>
      <c r="I252" s="4">
        <f>users[[#This Row],[paid_usd]]-users[[#This Row],[refunded_usd]]</f>
        <v>0</v>
      </c>
      <c r="J252" s="4">
        <f>IF(users[[#This Row],[successful_payments_count]]&gt;0,1,0)</f>
        <v>0</v>
      </c>
    </row>
    <row r="253" spans="1:10">
      <c r="A253">
        <v>252</v>
      </c>
      <c r="B253" s="3">
        <v>46023.5225115741</v>
      </c>
      <c r="C253" t="s">
        <v>16</v>
      </c>
      <c r="D253" t="s">
        <v>23</v>
      </c>
      <c r="E253">
        <v>5</v>
      </c>
      <c r="F253" s="4">
        <f>COUNTIFS(payments!$B$2:$B$203,A253,payments!$F$2:$F$203,"succeeded")</f>
        <v>2</v>
      </c>
      <c r="G253" s="4">
        <f>SUMIFS(payments!$G$2:$G$203,payments!$F$2:$F$203,"succeeded",payments!$B$2:$B$203,A253)</f>
        <v>39.98</v>
      </c>
      <c r="H253" s="4">
        <f>SUMIF(refunds!$G$2:$G$15,A253,refunds!$D$2:$D$15)</f>
        <v>19.99</v>
      </c>
      <c r="I253" s="4">
        <f>users[[#This Row],[paid_usd]]-users[[#This Row],[refunded_usd]]</f>
        <v>19.99</v>
      </c>
      <c r="J253" s="4">
        <f>IF(users[[#This Row],[successful_payments_count]]&gt;0,1,0)</f>
        <v>1</v>
      </c>
    </row>
    <row r="254" spans="1:10">
      <c r="A254">
        <v>253</v>
      </c>
      <c r="B254" s="3">
        <v>46091.5151157407</v>
      </c>
      <c r="C254" t="s">
        <v>17</v>
      </c>
      <c r="D254" t="s">
        <v>23</v>
      </c>
      <c r="E254">
        <v>4</v>
      </c>
      <c r="F254" s="4">
        <f>COUNTIFS(payments!$B$2:$B$203,A254,payments!$F$2:$F$203,"succeeded")</f>
        <v>0</v>
      </c>
      <c r="G254" s="4">
        <f>SUMIFS(payments!$G$2:$G$203,payments!$F$2:$F$203,"succeeded",payments!$B$2:$B$203,A254)</f>
        <v>0</v>
      </c>
      <c r="H254" s="4">
        <f>SUMIF(refunds!$G$2:$G$15,A254,refunds!$D$2:$D$15)</f>
        <v>0</v>
      </c>
      <c r="I254" s="4">
        <f>users[[#This Row],[paid_usd]]-users[[#This Row],[refunded_usd]]</f>
        <v>0</v>
      </c>
      <c r="J254" s="4">
        <f>IF(users[[#This Row],[successful_payments_count]]&gt;0,1,0)</f>
        <v>0</v>
      </c>
    </row>
    <row r="255" spans="1:10">
      <c r="A255">
        <v>254</v>
      </c>
      <c r="B255" s="3">
        <v>46066.8374652778</v>
      </c>
      <c r="C255" t="s">
        <v>14</v>
      </c>
      <c r="D255" t="s">
        <v>23</v>
      </c>
      <c r="E255">
        <v>7</v>
      </c>
      <c r="F255" s="4">
        <f>COUNTIFS(payments!$B$2:$B$203,A255,payments!$F$2:$F$203,"succeeded")</f>
        <v>0</v>
      </c>
      <c r="G255" s="4">
        <f>SUMIFS(payments!$G$2:$G$203,payments!$F$2:$F$203,"succeeded",payments!$B$2:$B$203,A255)</f>
        <v>0</v>
      </c>
      <c r="H255" s="4">
        <f>SUMIF(refunds!$G$2:$G$15,A255,refunds!$D$2:$D$15)</f>
        <v>0</v>
      </c>
      <c r="I255" s="4">
        <f>users[[#This Row],[paid_usd]]-users[[#This Row],[refunded_usd]]</f>
        <v>0</v>
      </c>
      <c r="J255" s="4">
        <f>IF(users[[#This Row],[successful_payments_count]]&gt;0,1,0)</f>
        <v>0</v>
      </c>
    </row>
    <row r="256" spans="1:10">
      <c r="A256">
        <v>255</v>
      </c>
      <c r="B256" s="3">
        <v>46139.7701967593</v>
      </c>
      <c r="C256" t="s">
        <v>17</v>
      </c>
      <c r="D256" t="s">
        <v>4</v>
      </c>
      <c r="E256">
        <v>3</v>
      </c>
      <c r="F256" s="4">
        <f>COUNTIFS(payments!$B$2:$B$203,A256,payments!$F$2:$F$203,"succeeded")</f>
        <v>0</v>
      </c>
      <c r="G256" s="4">
        <f>SUMIFS(payments!$G$2:$G$203,payments!$F$2:$F$203,"succeeded",payments!$B$2:$B$203,A256)</f>
        <v>0</v>
      </c>
      <c r="H256" s="4">
        <f>SUMIF(refunds!$G$2:$G$15,A256,refunds!$D$2:$D$15)</f>
        <v>0</v>
      </c>
      <c r="I256" s="4">
        <f>users[[#This Row],[paid_usd]]-users[[#This Row],[refunded_usd]]</f>
        <v>0</v>
      </c>
      <c r="J256" s="4">
        <f>IF(users[[#This Row],[successful_payments_count]]&gt;0,1,0)</f>
        <v>0</v>
      </c>
    </row>
    <row r="257" spans="1:10">
      <c r="A257">
        <v>256</v>
      </c>
      <c r="B257" s="3">
        <v>46143.7740625</v>
      </c>
      <c r="C257" t="s">
        <v>15</v>
      </c>
      <c r="D257" t="s">
        <v>22</v>
      </c>
      <c r="E257">
        <v>2</v>
      </c>
      <c r="F257" s="4">
        <f>COUNTIFS(payments!$B$2:$B$203,A257,payments!$F$2:$F$203,"succeeded")</f>
        <v>0</v>
      </c>
      <c r="G257" s="4">
        <f>SUMIFS(payments!$G$2:$G$203,payments!$F$2:$F$203,"succeeded",payments!$B$2:$B$203,A257)</f>
        <v>0</v>
      </c>
      <c r="H257" s="4">
        <f>SUMIF(refunds!$G$2:$G$15,A257,refunds!$D$2:$D$15)</f>
        <v>0</v>
      </c>
      <c r="I257" s="4">
        <f>users[[#This Row],[paid_usd]]-users[[#This Row],[refunded_usd]]</f>
        <v>0</v>
      </c>
      <c r="J257" s="4">
        <f>IF(users[[#This Row],[successful_payments_count]]&gt;0,1,0)</f>
        <v>0</v>
      </c>
    </row>
    <row r="258" spans="1:10">
      <c r="A258">
        <v>257</v>
      </c>
      <c r="B258" s="3">
        <v>46089.1955324074</v>
      </c>
      <c r="C258" t="s">
        <v>19</v>
      </c>
      <c r="D258" t="s">
        <v>22</v>
      </c>
      <c r="F258" s="4">
        <f>COUNTIFS(payments!$B$2:$B$203,A258,payments!$F$2:$F$203,"succeeded")</f>
        <v>0</v>
      </c>
      <c r="G258" s="4">
        <f>SUMIFS(payments!$G$2:$G$203,payments!$F$2:$F$203,"succeeded",payments!$B$2:$B$203,A258)</f>
        <v>0</v>
      </c>
      <c r="H258" s="4">
        <f>SUMIF(refunds!$G$2:$G$15,A258,refunds!$D$2:$D$15)</f>
        <v>0</v>
      </c>
      <c r="I258" s="4">
        <f>users[[#This Row],[paid_usd]]-users[[#This Row],[refunded_usd]]</f>
        <v>0</v>
      </c>
      <c r="J258" s="4">
        <f>IF(users[[#This Row],[successful_payments_count]]&gt;0,1,0)</f>
        <v>0</v>
      </c>
    </row>
    <row r="259" spans="1:10">
      <c r="A259">
        <v>258</v>
      </c>
      <c r="B259" s="3">
        <v>46063.601875</v>
      </c>
      <c r="C259" t="s">
        <v>19</v>
      </c>
      <c r="D259" t="s">
        <v>23</v>
      </c>
      <c r="E259">
        <v>7</v>
      </c>
      <c r="F259" s="4">
        <f>COUNTIFS(payments!$B$2:$B$203,A259,payments!$F$2:$F$203,"succeeded")</f>
        <v>0</v>
      </c>
      <c r="G259" s="4">
        <f>SUMIFS(payments!$G$2:$G$203,payments!$F$2:$F$203,"succeeded",payments!$B$2:$B$203,A259)</f>
        <v>0</v>
      </c>
      <c r="H259" s="4">
        <f>SUMIF(refunds!$G$2:$G$15,A259,refunds!$D$2:$D$15)</f>
        <v>0</v>
      </c>
      <c r="I259" s="4">
        <f>users[[#This Row],[paid_usd]]-users[[#This Row],[refunded_usd]]</f>
        <v>0</v>
      </c>
      <c r="J259" s="4">
        <f>IF(users[[#This Row],[successful_payments_count]]&gt;0,1,0)</f>
        <v>0</v>
      </c>
    </row>
    <row r="260" spans="1:10">
      <c r="A260">
        <v>259</v>
      </c>
      <c r="B260" s="3">
        <v>46059.0264699074</v>
      </c>
      <c r="C260" t="s">
        <v>15</v>
      </c>
      <c r="D260" t="s">
        <v>23</v>
      </c>
      <c r="F260" s="4">
        <f>COUNTIFS(payments!$B$2:$B$203,A260,payments!$F$2:$F$203,"succeeded")</f>
        <v>0</v>
      </c>
      <c r="G260" s="4">
        <f>SUMIFS(payments!$G$2:$G$203,payments!$F$2:$F$203,"succeeded",payments!$B$2:$B$203,A260)</f>
        <v>0</v>
      </c>
      <c r="H260" s="4">
        <f>SUMIF(refunds!$G$2:$G$15,A260,refunds!$D$2:$D$15)</f>
        <v>0</v>
      </c>
      <c r="I260" s="4">
        <f>users[[#This Row],[paid_usd]]-users[[#This Row],[refunded_usd]]</f>
        <v>0</v>
      </c>
      <c r="J260" s="4">
        <f>IF(users[[#This Row],[successful_payments_count]]&gt;0,1,0)</f>
        <v>0</v>
      </c>
    </row>
    <row r="261" spans="1:10">
      <c r="A261">
        <v>260</v>
      </c>
      <c r="B261" s="3">
        <v>46132.3863541667</v>
      </c>
      <c r="C261" t="s">
        <v>19</v>
      </c>
      <c r="D261" t="s">
        <v>4</v>
      </c>
      <c r="E261">
        <v>3</v>
      </c>
      <c r="F261" s="4">
        <f>COUNTIFS(payments!$B$2:$B$203,A261,payments!$F$2:$F$203,"succeeded")</f>
        <v>0</v>
      </c>
      <c r="G261" s="4">
        <f>SUMIFS(payments!$G$2:$G$203,payments!$F$2:$F$203,"succeeded",payments!$B$2:$B$203,A261)</f>
        <v>0</v>
      </c>
      <c r="H261" s="4">
        <f>SUMIF(refunds!$G$2:$G$15,A261,refunds!$D$2:$D$15)</f>
        <v>0</v>
      </c>
      <c r="I261" s="4">
        <f>users[[#This Row],[paid_usd]]-users[[#This Row],[refunded_usd]]</f>
        <v>0</v>
      </c>
      <c r="J261" s="4">
        <f>IF(users[[#This Row],[successful_payments_count]]&gt;0,1,0)</f>
        <v>0</v>
      </c>
    </row>
    <row r="262" spans="1:10">
      <c r="A262">
        <v>261</v>
      </c>
      <c r="B262" s="3">
        <v>46032.4752546296</v>
      </c>
      <c r="C262" t="s">
        <v>15</v>
      </c>
      <c r="D262" t="s">
        <v>4</v>
      </c>
      <c r="E262">
        <v>2</v>
      </c>
      <c r="F262" s="4">
        <f>COUNTIFS(payments!$B$2:$B$203,A262,payments!$F$2:$F$203,"succeeded")</f>
        <v>0</v>
      </c>
      <c r="G262" s="4">
        <f>SUMIFS(payments!$G$2:$G$203,payments!$F$2:$F$203,"succeeded",payments!$B$2:$B$203,A262)</f>
        <v>0</v>
      </c>
      <c r="H262" s="4">
        <f>SUMIF(refunds!$G$2:$G$15,A262,refunds!$D$2:$D$15)</f>
        <v>0</v>
      </c>
      <c r="I262" s="4">
        <f>users[[#This Row],[paid_usd]]-users[[#This Row],[refunded_usd]]</f>
        <v>0</v>
      </c>
      <c r="J262" s="4">
        <f>IF(users[[#This Row],[successful_payments_count]]&gt;0,1,0)</f>
        <v>0</v>
      </c>
    </row>
    <row r="263" spans="1:10">
      <c r="A263">
        <v>262</v>
      </c>
      <c r="B263" s="3">
        <v>46056.8268634259</v>
      </c>
      <c r="C263" t="s">
        <v>16</v>
      </c>
      <c r="D263" t="s">
        <v>22</v>
      </c>
      <c r="E263">
        <v>2</v>
      </c>
      <c r="F263" s="4">
        <f>COUNTIFS(payments!$B$2:$B$203,A263,payments!$F$2:$F$203,"succeeded")</f>
        <v>0</v>
      </c>
      <c r="G263" s="4">
        <f>SUMIFS(payments!$G$2:$G$203,payments!$F$2:$F$203,"succeeded",payments!$B$2:$B$203,A263)</f>
        <v>0</v>
      </c>
      <c r="H263" s="4">
        <f>SUMIF(refunds!$G$2:$G$15,A263,refunds!$D$2:$D$15)</f>
        <v>0</v>
      </c>
      <c r="I263" s="4">
        <f>users[[#This Row],[paid_usd]]-users[[#This Row],[refunded_usd]]</f>
        <v>0</v>
      </c>
      <c r="J263" s="4">
        <f>IF(users[[#This Row],[successful_payments_count]]&gt;0,1,0)</f>
        <v>0</v>
      </c>
    </row>
    <row r="264" spans="1:10">
      <c r="A264">
        <v>263</v>
      </c>
      <c r="B264" s="3">
        <v>46156.8155092593</v>
      </c>
      <c r="C264" t="s">
        <v>18</v>
      </c>
      <c r="D264" t="s">
        <v>22</v>
      </c>
      <c r="E264">
        <v>2</v>
      </c>
      <c r="F264" s="4">
        <f>COUNTIFS(payments!$B$2:$B$203,A264,payments!$F$2:$F$203,"succeeded")</f>
        <v>0</v>
      </c>
      <c r="G264" s="4">
        <f>SUMIFS(payments!$G$2:$G$203,payments!$F$2:$F$203,"succeeded",payments!$B$2:$B$203,A264)</f>
        <v>0</v>
      </c>
      <c r="H264" s="4">
        <f>SUMIF(refunds!$G$2:$G$15,A264,refunds!$D$2:$D$15)</f>
        <v>0</v>
      </c>
      <c r="I264" s="4">
        <f>users[[#This Row],[paid_usd]]-users[[#This Row],[refunded_usd]]</f>
        <v>0</v>
      </c>
      <c r="J264" s="4">
        <f>IF(users[[#This Row],[successful_payments_count]]&gt;0,1,0)</f>
        <v>0</v>
      </c>
    </row>
    <row r="265" spans="1:10">
      <c r="A265">
        <v>264</v>
      </c>
      <c r="B265" s="3">
        <v>46185.188912037</v>
      </c>
      <c r="C265" t="s">
        <v>19</v>
      </c>
      <c r="D265" t="s">
        <v>22</v>
      </c>
      <c r="E265">
        <v>1</v>
      </c>
      <c r="F265" s="4">
        <f>COUNTIFS(payments!$B$2:$B$203,A265,payments!$F$2:$F$203,"succeeded")</f>
        <v>0</v>
      </c>
      <c r="G265" s="4">
        <f>SUMIFS(payments!$G$2:$G$203,payments!$F$2:$F$203,"succeeded",payments!$B$2:$B$203,A265)</f>
        <v>0</v>
      </c>
      <c r="H265" s="4">
        <f>SUMIF(refunds!$G$2:$G$15,A265,refunds!$D$2:$D$15)</f>
        <v>0</v>
      </c>
      <c r="I265" s="4">
        <f>users[[#This Row],[paid_usd]]-users[[#This Row],[refunded_usd]]</f>
        <v>0</v>
      </c>
      <c r="J265" s="4">
        <f>IF(users[[#This Row],[successful_payments_count]]&gt;0,1,0)</f>
        <v>0</v>
      </c>
    </row>
    <row r="266" spans="1:10">
      <c r="A266">
        <v>265</v>
      </c>
      <c r="B266" s="3">
        <v>46120.4523611111</v>
      </c>
      <c r="C266" t="s">
        <v>18</v>
      </c>
      <c r="D266" t="s">
        <v>22</v>
      </c>
      <c r="E266">
        <v>6</v>
      </c>
      <c r="F266" s="4">
        <f>COUNTIFS(payments!$B$2:$B$203,A266,payments!$F$2:$F$203,"succeeded")</f>
        <v>0</v>
      </c>
      <c r="G266" s="4">
        <f>SUMIFS(payments!$G$2:$G$203,payments!$F$2:$F$203,"succeeded",payments!$B$2:$B$203,A266)</f>
        <v>0</v>
      </c>
      <c r="H266" s="4">
        <f>SUMIF(refunds!$G$2:$G$15,A266,refunds!$D$2:$D$15)</f>
        <v>0</v>
      </c>
      <c r="I266" s="4">
        <f>users[[#This Row],[paid_usd]]-users[[#This Row],[refunded_usd]]</f>
        <v>0</v>
      </c>
      <c r="J266" s="4">
        <f>IF(users[[#This Row],[successful_payments_count]]&gt;0,1,0)</f>
        <v>0</v>
      </c>
    </row>
    <row r="267" spans="1:10">
      <c r="A267">
        <v>266</v>
      </c>
      <c r="B267" s="3">
        <v>46146.3639467593</v>
      </c>
      <c r="C267" t="s">
        <v>16</v>
      </c>
      <c r="D267" t="s">
        <v>22</v>
      </c>
      <c r="E267">
        <v>7</v>
      </c>
      <c r="F267" s="4">
        <f>COUNTIFS(payments!$B$2:$B$203,A267,payments!$F$2:$F$203,"succeeded")</f>
        <v>0</v>
      </c>
      <c r="G267" s="4">
        <f>SUMIFS(payments!$G$2:$G$203,payments!$F$2:$F$203,"succeeded",payments!$B$2:$B$203,A267)</f>
        <v>0</v>
      </c>
      <c r="H267" s="4">
        <f>SUMIF(refunds!$G$2:$G$15,A267,refunds!$D$2:$D$15)</f>
        <v>0</v>
      </c>
      <c r="I267" s="4">
        <f>users[[#This Row],[paid_usd]]-users[[#This Row],[refunded_usd]]</f>
        <v>0</v>
      </c>
      <c r="J267" s="4">
        <f>IF(users[[#This Row],[successful_payments_count]]&gt;0,1,0)</f>
        <v>0</v>
      </c>
    </row>
    <row r="268" spans="1:10">
      <c r="A268">
        <v>267</v>
      </c>
      <c r="B268" s="3">
        <v>46068.4235648148</v>
      </c>
      <c r="C268" t="s">
        <v>18</v>
      </c>
      <c r="D268" t="s">
        <v>22</v>
      </c>
      <c r="E268">
        <v>1</v>
      </c>
      <c r="F268" s="4">
        <f>COUNTIFS(payments!$B$2:$B$203,A268,payments!$F$2:$F$203,"succeeded")</f>
        <v>0</v>
      </c>
      <c r="G268" s="4">
        <f>SUMIFS(payments!$G$2:$G$203,payments!$F$2:$F$203,"succeeded",payments!$B$2:$B$203,A268)</f>
        <v>0</v>
      </c>
      <c r="H268" s="4">
        <f>SUMIF(refunds!$G$2:$G$15,A268,refunds!$D$2:$D$15)</f>
        <v>0</v>
      </c>
      <c r="I268" s="4">
        <f>users[[#This Row],[paid_usd]]-users[[#This Row],[refunded_usd]]</f>
        <v>0</v>
      </c>
      <c r="J268" s="4">
        <f>IF(users[[#This Row],[successful_payments_count]]&gt;0,1,0)</f>
        <v>0</v>
      </c>
    </row>
    <row r="269" spans="1:10">
      <c r="A269">
        <v>268</v>
      </c>
      <c r="B269" s="3">
        <v>46178.3688773148</v>
      </c>
      <c r="C269" t="s">
        <v>18</v>
      </c>
      <c r="D269" t="s">
        <v>4</v>
      </c>
      <c r="E269">
        <v>5</v>
      </c>
      <c r="F269" s="4">
        <f>COUNTIFS(payments!$B$2:$B$203,A269,payments!$F$2:$F$203,"succeeded")</f>
        <v>0</v>
      </c>
      <c r="G269" s="4">
        <f>SUMIFS(payments!$G$2:$G$203,payments!$F$2:$F$203,"succeeded",payments!$B$2:$B$203,A269)</f>
        <v>0</v>
      </c>
      <c r="H269" s="4">
        <f>SUMIF(refunds!$G$2:$G$15,A269,refunds!$D$2:$D$15)</f>
        <v>0</v>
      </c>
      <c r="I269" s="4">
        <f>users[[#This Row],[paid_usd]]-users[[#This Row],[refunded_usd]]</f>
        <v>0</v>
      </c>
      <c r="J269" s="4">
        <f>IF(users[[#This Row],[successful_payments_count]]&gt;0,1,0)</f>
        <v>0</v>
      </c>
    </row>
    <row r="270" spans="1:10">
      <c r="A270">
        <v>269</v>
      </c>
      <c r="B270" s="3">
        <v>46085.6216319444</v>
      </c>
      <c r="C270" t="s">
        <v>14</v>
      </c>
      <c r="D270" t="s">
        <v>23</v>
      </c>
      <c r="E270">
        <v>3</v>
      </c>
      <c r="F270" s="4">
        <f>COUNTIFS(payments!$B$2:$B$203,A270,payments!$F$2:$F$203,"succeeded")</f>
        <v>0</v>
      </c>
      <c r="G270" s="4">
        <f>SUMIFS(payments!$G$2:$G$203,payments!$F$2:$F$203,"succeeded",payments!$B$2:$B$203,A270)</f>
        <v>0</v>
      </c>
      <c r="H270" s="4">
        <f>SUMIF(refunds!$G$2:$G$15,A270,refunds!$D$2:$D$15)</f>
        <v>0</v>
      </c>
      <c r="I270" s="4">
        <f>users[[#This Row],[paid_usd]]-users[[#This Row],[refunded_usd]]</f>
        <v>0</v>
      </c>
      <c r="J270" s="4">
        <f>IF(users[[#This Row],[successful_payments_count]]&gt;0,1,0)</f>
        <v>0</v>
      </c>
    </row>
    <row r="271" spans="1:10">
      <c r="A271">
        <v>270</v>
      </c>
      <c r="B271" s="3">
        <v>46083.0630671296</v>
      </c>
      <c r="C271" t="s">
        <v>19</v>
      </c>
      <c r="D271" t="s">
        <v>4</v>
      </c>
      <c r="E271">
        <v>1</v>
      </c>
      <c r="F271" s="4">
        <f>COUNTIFS(payments!$B$2:$B$203,A271,payments!$F$2:$F$203,"succeeded")</f>
        <v>0</v>
      </c>
      <c r="G271" s="4">
        <f>SUMIFS(payments!$G$2:$G$203,payments!$F$2:$F$203,"succeeded",payments!$B$2:$B$203,A271)</f>
        <v>0</v>
      </c>
      <c r="H271" s="4">
        <f>SUMIF(refunds!$G$2:$G$15,A271,refunds!$D$2:$D$15)</f>
        <v>0</v>
      </c>
      <c r="I271" s="4">
        <f>users[[#This Row],[paid_usd]]-users[[#This Row],[refunded_usd]]</f>
        <v>0</v>
      </c>
      <c r="J271" s="4">
        <f>IF(users[[#This Row],[successful_payments_count]]&gt;0,1,0)</f>
        <v>0</v>
      </c>
    </row>
    <row r="272" spans="1:10">
      <c r="A272">
        <v>271</v>
      </c>
      <c r="B272" s="3">
        <v>46185.3791782407</v>
      </c>
      <c r="C272" t="s">
        <v>19</v>
      </c>
      <c r="D272" t="s">
        <v>22</v>
      </c>
      <c r="E272">
        <v>1</v>
      </c>
      <c r="F272" s="4">
        <f>COUNTIFS(payments!$B$2:$B$203,A272,payments!$F$2:$F$203,"succeeded")</f>
        <v>0</v>
      </c>
      <c r="G272" s="4">
        <f>SUMIFS(payments!$G$2:$G$203,payments!$F$2:$F$203,"succeeded",payments!$B$2:$B$203,A272)</f>
        <v>0</v>
      </c>
      <c r="H272" s="4">
        <f>SUMIF(refunds!$G$2:$G$15,A272,refunds!$D$2:$D$15)</f>
        <v>0</v>
      </c>
      <c r="I272" s="4">
        <f>users[[#This Row],[paid_usd]]-users[[#This Row],[refunded_usd]]</f>
        <v>0</v>
      </c>
      <c r="J272" s="4">
        <f>IF(users[[#This Row],[successful_payments_count]]&gt;0,1,0)</f>
        <v>0</v>
      </c>
    </row>
    <row r="273" spans="1:10">
      <c r="A273">
        <v>272</v>
      </c>
      <c r="B273" s="3">
        <v>46148.2998842593</v>
      </c>
      <c r="C273" t="s">
        <v>17</v>
      </c>
      <c r="D273" t="s">
        <v>22</v>
      </c>
      <c r="F273" s="4">
        <f>COUNTIFS(payments!$B$2:$B$203,A273,payments!$F$2:$F$203,"succeeded")</f>
        <v>0</v>
      </c>
      <c r="G273" s="4">
        <f>SUMIFS(payments!$G$2:$G$203,payments!$F$2:$F$203,"succeeded",payments!$B$2:$B$203,A273)</f>
        <v>0</v>
      </c>
      <c r="H273" s="4">
        <f>SUMIF(refunds!$G$2:$G$15,A273,refunds!$D$2:$D$15)</f>
        <v>0</v>
      </c>
      <c r="I273" s="4">
        <f>users[[#This Row],[paid_usd]]-users[[#This Row],[refunded_usd]]</f>
        <v>0</v>
      </c>
      <c r="J273" s="4">
        <f>IF(users[[#This Row],[successful_payments_count]]&gt;0,1,0)</f>
        <v>0</v>
      </c>
    </row>
    <row r="274" spans="1:10">
      <c r="A274">
        <v>273</v>
      </c>
      <c r="B274" s="3">
        <v>46152.9276388889</v>
      </c>
      <c r="C274" t="s">
        <v>19</v>
      </c>
      <c r="D274" t="s">
        <v>4</v>
      </c>
      <c r="E274">
        <v>3</v>
      </c>
      <c r="F274" s="4">
        <f>COUNTIFS(payments!$B$2:$B$203,A274,payments!$F$2:$F$203,"succeeded")</f>
        <v>0</v>
      </c>
      <c r="G274" s="4">
        <f>SUMIFS(payments!$G$2:$G$203,payments!$F$2:$F$203,"succeeded",payments!$B$2:$B$203,A274)</f>
        <v>0</v>
      </c>
      <c r="H274" s="4">
        <f>SUMIF(refunds!$G$2:$G$15,A274,refunds!$D$2:$D$15)</f>
        <v>0</v>
      </c>
      <c r="I274" s="4">
        <f>users[[#This Row],[paid_usd]]-users[[#This Row],[refunded_usd]]</f>
        <v>0</v>
      </c>
      <c r="J274" s="4">
        <f>IF(users[[#This Row],[successful_payments_count]]&gt;0,1,0)</f>
        <v>0</v>
      </c>
    </row>
    <row r="275" spans="1:10">
      <c r="A275">
        <v>274</v>
      </c>
      <c r="B275" s="3">
        <v>46097.9701851852</v>
      </c>
      <c r="C275" t="s">
        <v>16</v>
      </c>
      <c r="D275" t="s">
        <v>4</v>
      </c>
      <c r="E275">
        <v>3</v>
      </c>
      <c r="F275" s="4">
        <f>COUNTIFS(payments!$B$2:$B$203,A275,payments!$F$2:$F$203,"succeeded")</f>
        <v>0</v>
      </c>
      <c r="G275" s="4">
        <f>SUMIFS(payments!$G$2:$G$203,payments!$F$2:$F$203,"succeeded",payments!$B$2:$B$203,A275)</f>
        <v>0</v>
      </c>
      <c r="H275" s="4">
        <f>SUMIF(refunds!$G$2:$G$15,A275,refunds!$D$2:$D$15)</f>
        <v>0</v>
      </c>
      <c r="I275" s="4">
        <f>users[[#This Row],[paid_usd]]-users[[#This Row],[refunded_usd]]</f>
        <v>0</v>
      </c>
      <c r="J275" s="4">
        <f>IF(users[[#This Row],[successful_payments_count]]&gt;0,1,0)</f>
        <v>0</v>
      </c>
    </row>
    <row r="276" spans="1:10">
      <c r="A276">
        <v>275</v>
      </c>
      <c r="B276" s="3">
        <v>46033.1740046296</v>
      </c>
      <c r="C276" t="s">
        <v>16</v>
      </c>
      <c r="D276" t="s">
        <v>22</v>
      </c>
      <c r="E276">
        <v>7</v>
      </c>
      <c r="F276" s="4">
        <f>COUNTIFS(payments!$B$2:$B$203,A276,payments!$F$2:$F$203,"succeeded")</f>
        <v>0</v>
      </c>
      <c r="G276" s="4">
        <f>SUMIFS(payments!$G$2:$G$203,payments!$F$2:$F$203,"succeeded",payments!$B$2:$B$203,A276)</f>
        <v>0</v>
      </c>
      <c r="H276" s="4">
        <f>SUMIF(refunds!$G$2:$G$15,A276,refunds!$D$2:$D$15)</f>
        <v>0</v>
      </c>
      <c r="I276" s="4">
        <f>users[[#This Row],[paid_usd]]-users[[#This Row],[refunded_usd]]</f>
        <v>0</v>
      </c>
      <c r="J276" s="4">
        <f>IF(users[[#This Row],[successful_payments_count]]&gt;0,1,0)</f>
        <v>0</v>
      </c>
    </row>
    <row r="277" spans="1:10">
      <c r="A277">
        <v>276</v>
      </c>
      <c r="B277" s="3">
        <v>46181.0712962963</v>
      </c>
      <c r="C277" t="s">
        <v>15</v>
      </c>
      <c r="D277" t="s">
        <v>23</v>
      </c>
      <c r="E277">
        <v>3</v>
      </c>
      <c r="F277" s="4">
        <f>COUNTIFS(payments!$B$2:$B$203,A277,payments!$F$2:$F$203,"succeeded")</f>
        <v>1</v>
      </c>
      <c r="G277" s="4">
        <f>SUMIFS(payments!$G$2:$G$203,payments!$F$2:$F$203,"succeeded",payments!$B$2:$B$203,A277)</f>
        <v>15.99</v>
      </c>
      <c r="H277" s="4">
        <f>SUMIF(refunds!$G$2:$G$15,A277,refunds!$D$2:$D$15)</f>
        <v>0</v>
      </c>
      <c r="I277" s="4">
        <f>users[[#This Row],[paid_usd]]-users[[#This Row],[refunded_usd]]</f>
        <v>15.99</v>
      </c>
      <c r="J277" s="4">
        <f>IF(users[[#This Row],[successful_payments_count]]&gt;0,1,0)</f>
        <v>1</v>
      </c>
    </row>
    <row r="278" spans="1:10">
      <c r="A278">
        <v>277</v>
      </c>
      <c r="B278" s="3">
        <v>46186.0467013889</v>
      </c>
      <c r="C278" t="s">
        <v>14</v>
      </c>
      <c r="D278" t="s">
        <v>4</v>
      </c>
      <c r="E278">
        <v>7</v>
      </c>
      <c r="F278" s="4">
        <f>COUNTIFS(payments!$B$2:$B$203,A278,payments!$F$2:$F$203,"succeeded")</f>
        <v>0</v>
      </c>
      <c r="G278" s="4">
        <f>SUMIFS(payments!$G$2:$G$203,payments!$F$2:$F$203,"succeeded",payments!$B$2:$B$203,A278)</f>
        <v>0</v>
      </c>
      <c r="H278" s="4">
        <f>SUMIF(refunds!$G$2:$G$15,A278,refunds!$D$2:$D$15)</f>
        <v>0</v>
      </c>
      <c r="I278" s="4">
        <f>users[[#This Row],[paid_usd]]-users[[#This Row],[refunded_usd]]</f>
        <v>0</v>
      </c>
      <c r="J278" s="4">
        <f>IF(users[[#This Row],[successful_payments_count]]&gt;0,1,0)</f>
        <v>0</v>
      </c>
    </row>
    <row r="279" spans="1:10">
      <c r="A279">
        <v>278</v>
      </c>
      <c r="B279" s="3">
        <v>46156.2846875</v>
      </c>
      <c r="C279" t="s">
        <v>19</v>
      </c>
      <c r="D279" t="s">
        <v>23</v>
      </c>
      <c r="F279" s="4">
        <f>COUNTIFS(payments!$B$2:$B$203,A279,payments!$F$2:$F$203,"succeeded")</f>
        <v>1</v>
      </c>
      <c r="G279" s="4">
        <f>SUMIFS(payments!$G$2:$G$203,payments!$F$2:$F$203,"succeeded",payments!$B$2:$B$203,A279)</f>
        <v>9.99</v>
      </c>
      <c r="H279" s="4">
        <f>SUMIF(refunds!$G$2:$G$15,A279,refunds!$D$2:$D$15)</f>
        <v>0</v>
      </c>
      <c r="I279" s="4">
        <f>users[[#This Row],[paid_usd]]-users[[#This Row],[refunded_usd]]</f>
        <v>9.99</v>
      </c>
      <c r="J279" s="4">
        <f>IF(users[[#This Row],[successful_payments_count]]&gt;0,1,0)</f>
        <v>1</v>
      </c>
    </row>
    <row r="280" spans="1:10">
      <c r="A280">
        <v>279</v>
      </c>
      <c r="B280" s="3">
        <v>46075.7391550926</v>
      </c>
      <c r="C280" t="s">
        <v>19</v>
      </c>
      <c r="D280" t="s">
        <v>22</v>
      </c>
      <c r="E280">
        <v>1</v>
      </c>
      <c r="F280" s="4">
        <f>COUNTIFS(payments!$B$2:$B$203,A280,payments!$F$2:$F$203,"succeeded")</f>
        <v>0</v>
      </c>
      <c r="G280" s="4">
        <f>SUMIFS(payments!$G$2:$G$203,payments!$F$2:$F$203,"succeeded",payments!$B$2:$B$203,A280)</f>
        <v>0</v>
      </c>
      <c r="H280" s="4">
        <f>SUMIF(refunds!$G$2:$G$15,A280,refunds!$D$2:$D$15)</f>
        <v>0</v>
      </c>
      <c r="I280" s="4">
        <f>users[[#This Row],[paid_usd]]-users[[#This Row],[refunded_usd]]</f>
        <v>0</v>
      </c>
      <c r="J280" s="4">
        <f>IF(users[[#This Row],[successful_payments_count]]&gt;0,1,0)</f>
        <v>0</v>
      </c>
    </row>
    <row r="281" spans="1:10">
      <c r="A281">
        <v>280</v>
      </c>
      <c r="B281" s="3">
        <v>46052.1567013889</v>
      </c>
      <c r="C281" t="s">
        <v>18</v>
      </c>
      <c r="D281" t="s">
        <v>23</v>
      </c>
      <c r="E281">
        <v>5</v>
      </c>
      <c r="F281" s="4">
        <f>COUNTIFS(payments!$B$2:$B$203,A281,payments!$F$2:$F$203,"succeeded")</f>
        <v>0</v>
      </c>
      <c r="G281" s="4">
        <f>SUMIFS(payments!$G$2:$G$203,payments!$F$2:$F$203,"succeeded",payments!$B$2:$B$203,A281)</f>
        <v>0</v>
      </c>
      <c r="H281" s="4">
        <f>SUMIF(refunds!$G$2:$G$15,A281,refunds!$D$2:$D$15)</f>
        <v>0</v>
      </c>
      <c r="I281" s="4">
        <f>users[[#This Row],[paid_usd]]-users[[#This Row],[refunded_usd]]</f>
        <v>0</v>
      </c>
      <c r="J281" s="4">
        <f>IF(users[[#This Row],[successful_payments_count]]&gt;0,1,0)</f>
        <v>0</v>
      </c>
    </row>
    <row r="282" spans="1:10">
      <c r="A282">
        <v>281</v>
      </c>
      <c r="B282" s="3">
        <v>46169.941712963</v>
      </c>
      <c r="C282" t="s">
        <v>19</v>
      </c>
      <c r="D282" t="s">
        <v>22</v>
      </c>
      <c r="F282" s="4">
        <f>COUNTIFS(payments!$B$2:$B$203,A282,payments!$F$2:$F$203,"succeeded")</f>
        <v>0</v>
      </c>
      <c r="G282" s="4">
        <f>SUMIFS(payments!$G$2:$G$203,payments!$F$2:$F$203,"succeeded",payments!$B$2:$B$203,A282)</f>
        <v>0</v>
      </c>
      <c r="H282" s="4">
        <f>SUMIF(refunds!$G$2:$G$15,A282,refunds!$D$2:$D$15)</f>
        <v>0</v>
      </c>
      <c r="I282" s="4">
        <f>users[[#This Row],[paid_usd]]-users[[#This Row],[refunded_usd]]</f>
        <v>0</v>
      </c>
      <c r="J282" s="4">
        <f>IF(users[[#This Row],[successful_payments_count]]&gt;0,1,0)</f>
        <v>0</v>
      </c>
    </row>
    <row r="283" spans="1:10">
      <c r="A283">
        <v>282</v>
      </c>
      <c r="B283" s="3">
        <v>46110.3399652778</v>
      </c>
      <c r="C283" t="s">
        <v>19</v>
      </c>
      <c r="D283" t="s">
        <v>22</v>
      </c>
      <c r="E283">
        <v>2</v>
      </c>
      <c r="F283" s="4">
        <f>COUNTIFS(payments!$B$2:$B$203,A283,payments!$F$2:$F$203,"succeeded")</f>
        <v>0</v>
      </c>
      <c r="G283" s="4">
        <f>SUMIFS(payments!$G$2:$G$203,payments!$F$2:$F$203,"succeeded",payments!$B$2:$B$203,A283)</f>
        <v>0</v>
      </c>
      <c r="H283" s="4">
        <f>SUMIF(refunds!$G$2:$G$15,A283,refunds!$D$2:$D$15)</f>
        <v>0</v>
      </c>
      <c r="I283" s="4">
        <f>users[[#This Row],[paid_usd]]-users[[#This Row],[refunded_usd]]</f>
        <v>0</v>
      </c>
      <c r="J283" s="4">
        <f>IF(users[[#This Row],[successful_payments_count]]&gt;0,1,0)</f>
        <v>0</v>
      </c>
    </row>
    <row r="284" spans="1:10">
      <c r="A284">
        <v>283</v>
      </c>
      <c r="B284" s="3">
        <v>46160.8103240741</v>
      </c>
      <c r="C284" t="s">
        <v>19</v>
      </c>
      <c r="D284" t="s">
        <v>4</v>
      </c>
      <c r="F284" s="4">
        <f>COUNTIFS(payments!$B$2:$B$203,A284,payments!$F$2:$F$203,"succeeded")</f>
        <v>0</v>
      </c>
      <c r="G284" s="4">
        <f>SUMIFS(payments!$G$2:$G$203,payments!$F$2:$F$203,"succeeded",payments!$B$2:$B$203,A284)</f>
        <v>0</v>
      </c>
      <c r="H284" s="4">
        <f>SUMIF(refunds!$G$2:$G$15,A284,refunds!$D$2:$D$15)</f>
        <v>0</v>
      </c>
      <c r="I284" s="4">
        <f>users[[#This Row],[paid_usd]]-users[[#This Row],[refunded_usd]]</f>
        <v>0</v>
      </c>
      <c r="J284" s="4">
        <f>IF(users[[#This Row],[successful_payments_count]]&gt;0,1,0)</f>
        <v>0</v>
      </c>
    </row>
    <row r="285" spans="1:10">
      <c r="A285">
        <v>284</v>
      </c>
      <c r="B285" s="3">
        <v>46101.4139930556</v>
      </c>
      <c r="C285" t="s">
        <v>16</v>
      </c>
      <c r="D285" t="s">
        <v>4</v>
      </c>
      <c r="E285">
        <v>1</v>
      </c>
      <c r="F285" s="4">
        <f>COUNTIFS(payments!$B$2:$B$203,A285,payments!$F$2:$F$203,"succeeded")</f>
        <v>0</v>
      </c>
      <c r="G285" s="4">
        <f>SUMIFS(payments!$G$2:$G$203,payments!$F$2:$F$203,"succeeded",payments!$B$2:$B$203,A285)</f>
        <v>0</v>
      </c>
      <c r="H285" s="4">
        <f>SUMIF(refunds!$G$2:$G$15,A285,refunds!$D$2:$D$15)</f>
        <v>0</v>
      </c>
      <c r="I285" s="4">
        <f>users[[#This Row],[paid_usd]]-users[[#This Row],[refunded_usd]]</f>
        <v>0</v>
      </c>
      <c r="J285" s="4">
        <f>IF(users[[#This Row],[successful_payments_count]]&gt;0,1,0)</f>
        <v>0</v>
      </c>
    </row>
    <row r="286" spans="1:10">
      <c r="A286">
        <v>285</v>
      </c>
      <c r="B286" s="3">
        <v>46133.8421875</v>
      </c>
      <c r="C286" t="s">
        <v>19</v>
      </c>
      <c r="D286" t="s">
        <v>22</v>
      </c>
      <c r="E286">
        <v>4</v>
      </c>
      <c r="F286" s="4">
        <f>COUNTIFS(payments!$B$2:$B$203,A286,payments!$F$2:$F$203,"succeeded")</f>
        <v>0</v>
      </c>
      <c r="G286" s="4">
        <f>SUMIFS(payments!$G$2:$G$203,payments!$F$2:$F$203,"succeeded",payments!$B$2:$B$203,A286)</f>
        <v>0</v>
      </c>
      <c r="H286" s="4">
        <f>SUMIF(refunds!$G$2:$G$15,A286,refunds!$D$2:$D$15)</f>
        <v>0</v>
      </c>
      <c r="I286" s="4">
        <f>users[[#This Row],[paid_usd]]-users[[#This Row],[refunded_usd]]</f>
        <v>0</v>
      </c>
      <c r="J286" s="4">
        <f>IF(users[[#This Row],[successful_payments_count]]&gt;0,1,0)</f>
        <v>0</v>
      </c>
    </row>
    <row r="287" spans="1:10">
      <c r="A287">
        <v>286</v>
      </c>
      <c r="B287" s="3">
        <v>46122.4307175926</v>
      </c>
      <c r="C287" t="s">
        <v>16</v>
      </c>
      <c r="D287" t="s">
        <v>23</v>
      </c>
      <c r="F287" s="4">
        <f>COUNTIFS(payments!$B$2:$B$203,A287,payments!$F$2:$F$203,"succeeded")</f>
        <v>0</v>
      </c>
      <c r="G287" s="4">
        <f>SUMIFS(payments!$G$2:$G$203,payments!$F$2:$F$203,"succeeded",payments!$B$2:$B$203,A287)</f>
        <v>0</v>
      </c>
      <c r="H287" s="4">
        <f>SUMIF(refunds!$G$2:$G$15,A287,refunds!$D$2:$D$15)</f>
        <v>0</v>
      </c>
      <c r="I287" s="4">
        <f>users[[#This Row],[paid_usd]]-users[[#This Row],[refunded_usd]]</f>
        <v>0</v>
      </c>
      <c r="J287" s="4">
        <f>IF(users[[#This Row],[successful_payments_count]]&gt;0,1,0)</f>
        <v>0</v>
      </c>
    </row>
    <row r="288" spans="1:10">
      <c r="A288">
        <v>287</v>
      </c>
      <c r="B288" s="3">
        <v>46024.7536574074</v>
      </c>
      <c r="C288" t="s">
        <v>19</v>
      </c>
      <c r="D288" t="s">
        <v>23</v>
      </c>
      <c r="E288">
        <v>4</v>
      </c>
      <c r="F288" s="4">
        <f>COUNTIFS(payments!$B$2:$B$203,A288,payments!$F$2:$F$203,"succeeded")</f>
        <v>0</v>
      </c>
      <c r="G288" s="4">
        <f>SUMIFS(payments!$G$2:$G$203,payments!$F$2:$F$203,"succeeded",payments!$B$2:$B$203,A288)</f>
        <v>0</v>
      </c>
      <c r="H288" s="4">
        <f>SUMIF(refunds!$G$2:$G$15,A288,refunds!$D$2:$D$15)</f>
        <v>0</v>
      </c>
      <c r="I288" s="4">
        <f>users[[#This Row],[paid_usd]]-users[[#This Row],[refunded_usd]]</f>
        <v>0</v>
      </c>
      <c r="J288" s="4">
        <f>IF(users[[#This Row],[successful_payments_count]]&gt;0,1,0)</f>
        <v>0</v>
      </c>
    </row>
    <row r="289" spans="1:10">
      <c r="A289">
        <v>288</v>
      </c>
      <c r="B289" s="3">
        <v>46185.9807407407</v>
      </c>
      <c r="C289" t="s">
        <v>18</v>
      </c>
      <c r="D289" t="s">
        <v>4</v>
      </c>
      <c r="E289">
        <v>7</v>
      </c>
      <c r="F289" s="4">
        <f>COUNTIFS(payments!$B$2:$B$203,A289,payments!$F$2:$F$203,"succeeded")</f>
        <v>2</v>
      </c>
      <c r="G289" s="4">
        <f>SUMIFS(payments!$G$2:$G$203,payments!$F$2:$F$203,"succeeded",payments!$B$2:$B$203,A289)</f>
        <v>14.98</v>
      </c>
      <c r="H289" s="4">
        <f>SUMIF(refunds!$G$2:$G$15,A289,refunds!$D$2:$D$15)</f>
        <v>0</v>
      </c>
      <c r="I289" s="4">
        <f>users[[#This Row],[paid_usd]]-users[[#This Row],[refunded_usd]]</f>
        <v>14.98</v>
      </c>
      <c r="J289" s="4">
        <f>IF(users[[#This Row],[successful_payments_count]]&gt;0,1,0)</f>
        <v>1</v>
      </c>
    </row>
    <row r="290" spans="1:10">
      <c r="A290">
        <v>289</v>
      </c>
      <c r="B290" s="3">
        <v>46026.3936111111</v>
      </c>
      <c r="C290" t="s">
        <v>15</v>
      </c>
      <c r="D290" t="s">
        <v>23</v>
      </c>
      <c r="E290">
        <v>3</v>
      </c>
      <c r="F290" s="4">
        <f>COUNTIFS(payments!$B$2:$B$203,A290,payments!$F$2:$F$203,"succeeded")</f>
        <v>2</v>
      </c>
      <c r="G290" s="4">
        <f>SUMIFS(payments!$G$2:$G$203,payments!$F$2:$F$203,"succeeded",payments!$B$2:$B$203,A290)</f>
        <v>24.98</v>
      </c>
      <c r="H290" s="4">
        <f>SUMIF(refunds!$G$2:$G$15,A290,refunds!$D$2:$D$15)</f>
        <v>0</v>
      </c>
      <c r="I290" s="4">
        <f>users[[#This Row],[paid_usd]]-users[[#This Row],[refunded_usd]]</f>
        <v>24.98</v>
      </c>
      <c r="J290" s="4">
        <f>IF(users[[#This Row],[successful_payments_count]]&gt;0,1,0)</f>
        <v>1</v>
      </c>
    </row>
    <row r="291" spans="1:10">
      <c r="A291">
        <v>290</v>
      </c>
      <c r="B291" s="3">
        <v>46024.2303240741</v>
      </c>
      <c r="C291" t="s">
        <v>17</v>
      </c>
      <c r="D291" t="s">
        <v>22</v>
      </c>
      <c r="E291">
        <v>1</v>
      </c>
      <c r="F291" s="4">
        <f>COUNTIFS(payments!$B$2:$B$203,A291,payments!$F$2:$F$203,"succeeded")</f>
        <v>0</v>
      </c>
      <c r="G291" s="4">
        <f>SUMIFS(payments!$G$2:$G$203,payments!$F$2:$F$203,"succeeded",payments!$B$2:$B$203,A291)</f>
        <v>0</v>
      </c>
      <c r="H291" s="4">
        <f>SUMIF(refunds!$G$2:$G$15,A291,refunds!$D$2:$D$15)</f>
        <v>0</v>
      </c>
      <c r="I291" s="4">
        <f>users[[#This Row],[paid_usd]]-users[[#This Row],[refunded_usd]]</f>
        <v>0</v>
      </c>
      <c r="J291" s="4">
        <f>IF(users[[#This Row],[successful_payments_count]]&gt;0,1,0)</f>
        <v>0</v>
      </c>
    </row>
    <row r="292" spans="1:10">
      <c r="A292">
        <v>291</v>
      </c>
      <c r="B292" s="3">
        <v>46175.9665740741</v>
      </c>
      <c r="C292" t="s">
        <v>18</v>
      </c>
      <c r="D292" t="s">
        <v>23</v>
      </c>
      <c r="E292">
        <v>7</v>
      </c>
      <c r="F292" s="4">
        <f>COUNTIFS(payments!$B$2:$B$203,A292,payments!$F$2:$F$203,"succeeded")</f>
        <v>1</v>
      </c>
      <c r="G292" s="4">
        <f>SUMIFS(payments!$G$2:$G$203,payments!$F$2:$F$203,"succeeded",payments!$B$2:$B$203,A292)</f>
        <v>9.99</v>
      </c>
      <c r="H292" s="4">
        <f>SUMIF(refunds!$G$2:$G$15,A292,refunds!$D$2:$D$15)</f>
        <v>0</v>
      </c>
      <c r="I292" s="4">
        <f>users[[#This Row],[paid_usd]]-users[[#This Row],[refunded_usd]]</f>
        <v>9.99</v>
      </c>
      <c r="J292" s="4">
        <f>IF(users[[#This Row],[successful_payments_count]]&gt;0,1,0)</f>
        <v>1</v>
      </c>
    </row>
    <row r="293" spans="1:10">
      <c r="A293">
        <v>292</v>
      </c>
      <c r="B293" s="3">
        <v>46055.3681365741</v>
      </c>
      <c r="C293" t="s">
        <v>18</v>
      </c>
      <c r="D293" t="s">
        <v>22</v>
      </c>
      <c r="F293" s="4">
        <f>COUNTIFS(payments!$B$2:$B$203,A293,payments!$F$2:$F$203,"succeeded")</f>
        <v>0</v>
      </c>
      <c r="G293" s="4">
        <f>SUMIFS(payments!$G$2:$G$203,payments!$F$2:$F$203,"succeeded",payments!$B$2:$B$203,A293)</f>
        <v>0</v>
      </c>
      <c r="H293" s="4">
        <f>SUMIF(refunds!$G$2:$G$15,A293,refunds!$D$2:$D$15)</f>
        <v>0</v>
      </c>
      <c r="I293" s="4">
        <f>users[[#This Row],[paid_usd]]-users[[#This Row],[refunded_usd]]</f>
        <v>0</v>
      </c>
      <c r="J293" s="4">
        <f>IF(users[[#This Row],[successful_payments_count]]&gt;0,1,0)</f>
        <v>0</v>
      </c>
    </row>
    <row r="294" spans="1:10">
      <c r="A294">
        <v>293</v>
      </c>
      <c r="B294" s="3">
        <v>46026.2614467593</v>
      </c>
      <c r="C294" t="s">
        <v>16</v>
      </c>
      <c r="D294" t="s">
        <v>4</v>
      </c>
      <c r="E294">
        <v>4</v>
      </c>
      <c r="F294" s="4">
        <f>COUNTIFS(payments!$B$2:$B$203,A294,payments!$F$2:$F$203,"succeeded")</f>
        <v>1</v>
      </c>
      <c r="G294" s="4">
        <f>SUMIFS(payments!$G$2:$G$203,payments!$F$2:$F$203,"succeeded",payments!$B$2:$B$203,A294)</f>
        <v>19.99</v>
      </c>
      <c r="H294" s="4">
        <f>SUMIF(refunds!$G$2:$G$15,A294,refunds!$D$2:$D$15)</f>
        <v>0</v>
      </c>
      <c r="I294" s="4">
        <f>users[[#This Row],[paid_usd]]-users[[#This Row],[refunded_usd]]</f>
        <v>19.99</v>
      </c>
      <c r="J294" s="4">
        <f>IF(users[[#This Row],[successful_payments_count]]&gt;0,1,0)</f>
        <v>1</v>
      </c>
    </row>
    <row r="295" spans="1:10">
      <c r="A295">
        <v>294</v>
      </c>
      <c r="B295" s="3">
        <v>46128.636875</v>
      </c>
      <c r="C295" t="s">
        <v>19</v>
      </c>
      <c r="D295" t="s">
        <v>23</v>
      </c>
      <c r="E295">
        <v>5</v>
      </c>
      <c r="F295" s="4">
        <f>COUNTIFS(payments!$B$2:$B$203,A295,payments!$F$2:$F$203,"succeeded")</f>
        <v>1</v>
      </c>
      <c r="G295" s="4">
        <f>SUMIFS(payments!$G$2:$G$203,payments!$F$2:$F$203,"succeeded",payments!$B$2:$B$203,A295)</f>
        <v>19.99</v>
      </c>
      <c r="H295" s="4">
        <f>SUMIF(refunds!$G$2:$G$15,A295,refunds!$D$2:$D$15)</f>
        <v>0</v>
      </c>
      <c r="I295" s="4">
        <f>users[[#This Row],[paid_usd]]-users[[#This Row],[refunded_usd]]</f>
        <v>19.99</v>
      </c>
      <c r="J295" s="4">
        <f>IF(users[[#This Row],[successful_payments_count]]&gt;0,1,0)</f>
        <v>1</v>
      </c>
    </row>
    <row r="296" spans="1:10">
      <c r="A296">
        <v>295</v>
      </c>
      <c r="B296" s="3">
        <v>46132.8189467593</v>
      </c>
      <c r="C296" t="s">
        <v>17</v>
      </c>
      <c r="D296" t="s">
        <v>22</v>
      </c>
      <c r="E296">
        <v>1</v>
      </c>
      <c r="F296" s="4">
        <f>COUNTIFS(payments!$B$2:$B$203,A296,payments!$F$2:$F$203,"succeeded")</f>
        <v>0</v>
      </c>
      <c r="G296" s="4">
        <f>SUMIFS(payments!$G$2:$G$203,payments!$F$2:$F$203,"succeeded",payments!$B$2:$B$203,A296)</f>
        <v>0</v>
      </c>
      <c r="H296" s="4">
        <f>SUMIF(refunds!$G$2:$G$15,A296,refunds!$D$2:$D$15)</f>
        <v>0</v>
      </c>
      <c r="I296" s="4">
        <f>users[[#This Row],[paid_usd]]-users[[#This Row],[refunded_usd]]</f>
        <v>0</v>
      </c>
      <c r="J296" s="4">
        <f>IF(users[[#This Row],[successful_payments_count]]&gt;0,1,0)</f>
        <v>0</v>
      </c>
    </row>
    <row r="297" spans="1:10">
      <c r="A297">
        <v>296</v>
      </c>
      <c r="B297" s="3">
        <v>46105.5203240741</v>
      </c>
      <c r="C297" t="s">
        <v>16</v>
      </c>
      <c r="D297" t="s">
        <v>4</v>
      </c>
      <c r="F297" s="4">
        <f>COUNTIFS(payments!$B$2:$B$203,A297,payments!$F$2:$F$203,"succeeded")</f>
        <v>2</v>
      </c>
      <c r="G297" s="4">
        <f>SUMIFS(payments!$G$2:$G$203,payments!$F$2:$F$203,"succeeded",payments!$B$2:$B$203,A297)</f>
        <v>24.98</v>
      </c>
      <c r="H297" s="4">
        <f>SUMIF(refunds!$G$2:$G$15,A297,refunds!$D$2:$D$15)</f>
        <v>0</v>
      </c>
      <c r="I297" s="4">
        <f>users[[#This Row],[paid_usd]]-users[[#This Row],[refunded_usd]]</f>
        <v>24.98</v>
      </c>
      <c r="J297" s="4">
        <f>IF(users[[#This Row],[successful_payments_count]]&gt;0,1,0)</f>
        <v>1</v>
      </c>
    </row>
    <row r="298" spans="1:10">
      <c r="A298">
        <v>297</v>
      </c>
      <c r="B298" s="3">
        <v>46077.5181365741</v>
      </c>
      <c r="C298" t="s">
        <v>15</v>
      </c>
      <c r="D298" t="s">
        <v>23</v>
      </c>
      <c r="E298">
        <v>2</v>
      </c>
      <c r="F298" s="4">
        <f>COUNTIFS(payments!$B$2:$B$203,A298,payments!$F$2:$F$203,"succeeded")</f>
        <v>0</v>
      </c>
      <c r="G298" s="4">
        <f>SUMIFS(payments!$G$2:$G$203,payments!$F$2:$F$203,"succeeded",payments!$B$2:$B$203,A298)</f>
        <v>0</v>
      </c>
      <c r="H298" s="4">
        <f>SUMIF(refunds!$G$2:$G$15,A298,refunds!$D$2:$D$15)</f>
        <v>0</v>
      </c>
      <c r="I298" s="4">
        <f>users[[#This Row],[paid_usd]]-users[[#This Row],[refunded_usd]]</f>
        <v>0</v>
      </c>
      <c r="J298" s="4">
        <f>IF(users[[#This Row],[successful_payments_count]]&gt;0,1,0)</f>
        <v>0</v>
      </c>
    </row>
    <row r="299" spans="1:10">
      <c r="A299">
        <v>298</v>
      </c>
      <c r="B299" s="3">
        <v>46052.2191203704</v>
      </c>
      <c r="C299" t="s">
        <v>19</v>
      </c>
      <c r="D299" t="s">
        <v>22</v>
      </c>
      <c r="E299">
        <v>6</v>
      </c>
      <c r="F299" s="4">
        <f>COUNTIFS(payments!$B$2:$B$203,A299,payments!$F$2:$F$203,"succeeded")</f>
        <v>0</v>
      </c>
      <c r="G299" s="4">
        <f>SUMIFS(payments!$G$2:$G$203,payments!$F$2:$F$203,"succeeded",payments!$B$2:$B$203,A299)</f>
        <v>0</v>
      </c>
      <c r="H299" s="4">
        <f>SUMIF(refunds!$G$2:$G$15,A299,refunds!$D$2:$D$15)</f>
        <v>0</v>
      </c>
      <c r="I299" s="4">
        <f>users[[#This Row],[paid_usd]]-users[[#This Row],[refunded_usd]]</f>
        <v>0</v>
      </c>
      <c r="J299" s="4">
        <f>IF(users[[#This Row],[successful_payments_count]]&gt;0,1,0)</f>
        <v>0</v>
      </c>
    </row>
    <row r="300" spans="1:10">
      <c r="A300">
        <v>299</v>
      </c>
      <c r="B300" s="3">
        <v>46078.0755902778</v>
      </c>
      <c r="C300" t="s">
        <v>15</v>
      </c>
      <c r="D300" t="s">
        <v>4</v>
      </c>
      <c r="E300">
        <v>7</v>
      </c>
      <c r="F300" s="4">
        <f>COUNTIFS(payments!$B$2:$B$203,A300,payments!$F$2:$F$203,"succeeded")</f>
        <v>3</v>
      </c>
      <c r="G300" s="4">
        <f>SUMIFS(payments!$G$2:$G$203,payments!$F$2:$F$203,"succeeded",payments!$B$2:$B$203,A300)</f>
        <v>44.97</v>
      </c>
      <c r="H300" s="4">
        <f>SUMIF(refunds!$G$2:$G$15,A300,refunds!$D$2:$D$15)</f>
        <v>39.98</v>
      </c>
      <c r="I300" s="4">
        <f>users[[#This Row],[paid_usd]]-users[[#This Row],[refunded_usd]]</f>
        <v>4.99</v>
      </c>
      <c r="J300" s="4">
        <f>IF(users[[#This Row],[successful_payments_count]]&gt;0,1,0)</f>
        <v>1</v>
      </c>
    </row>
    <row r="301" spans="1:10">
      <c r="A301">
        <v>300</v>
      </c>
      <c r="B301" s="3">
        <v>46110.4452083333</v>
      </c>
      <c r="C301" t="s">
        <v>15</v>
      </c>
      <c r="D301" t="s">
        <v>23</v>
      </c>
      <c r="E301">
        <v>7</v>
      </c>
      <c r="F301" s="4">
        <f>COUNTIFS(payments!$B$2:$B$203,A301,payments!$F$2:$F$203,"succeeded")</f>
        <v>0</v>
      </c>
      <c r="G301" s="4">
        <f>SUMIFS(payments!$G$2:$G$203,payments!$F$2:$F$203,"succeeded",payments!$B$2:$B$203,A301)</f>
        <v>0</v>
      </c>
      <c r="H301" s="4">
        <f>SUMIF(refunds!$G$2:$G$15,A301,refunds!$D$2:$D$15)</f>
        <v>0</v>
      </c>
      <c r="I301" s="4">
        <f>users[[#This Row],[paid_usd]]-users[[#This Row],[refunded_usd]]</f>
        <v>0</v>
      </c>
      <c r="J301" s="4">
        <f>IF(users[[#This Row],[successful_payments_count]]&gt;0,1,0)</f>
        <v>0</v>
      </c>
    </row>
    <row r="302" spans="1:10">
      <c r="A302">
        <v>301</v>
      </c>
      <c r="B302" s="3">
        <v>46039.1998263889</v>
      </c>
      <c r="C302" t="s">
        <v>14</v>
      </c>
      <c r="D302" t="s">
        <v>23</v>
      </c>
      <c r="E302">
        <v>3</v>
      </c>
      <c r="F302" s="4">
        <f>COUNTIFS(payments!$B$2:$B$203,A302,payments!$F$2:$F$203,"succeeded")</f>
        <v>0</v>
      </c>
      <c r="G302" s="4">
        <f>SUMIFS(payments!$G$2:$G$203,payments!$F$2:$F$203,"succeeded",payments!$B$2:$B$203,A302)</f>
        <v>0</v>
      </c>
      <c r="H302" s="4">
        <f>SUMIF(refunds!$G$2:$G$15,A302,refunds!$D$2:$D$15)</f>
        <v>0</v>
      </c>
      <c r="I302" s="4">
        <f>users[[#This Row],[paid_usd]]-users[[#This Row],[refunded_usd]]</f>
        <v>0</v>
      </c>
      <c r="J302" s="4">
        <f>IF(users[[#This Row],[successful_payments_count]]&gt;0,1,0)</f>
        <v>0</v>
      </c>
    </row>
    <row r="303" spans="1:10">
      <c r="A303">
        <v>302</v>
      </c>
      <c r="B303" s="3">
        <v>46045.0563541667</v>
      </c>
      <c r="C303" t="s">
        <v>17</v>
      </c>
      <c r="D303" t="s">
        <v>22</v>
      </c>
      <c r="E303">
        <v>5</v>
      </c>
      <c r="F303" s="4">
        <f>COUNTIFS(payments!$B$2:$B$203,A303,payments!$F$2:$F$203,"succeeded")</f>
        <v>0</v>
      </c>
      <c r="G303" s="4">
        <f>SUMIFS(payments!$G$2:$G$203,payments!$F$2:$F$203,"succeeded",payments!$B$2:$B$203,A303)</f>
        <v>0</v>
      </c>
      <c r="H303" s="4">
        <f>SUMIF(refunds!$G$2:$G$15,A303,refunds!$D$2:$D$15)</f>
        <v>0</v>
      </c>
      <c r="I303" s="4">
        <f>users[[#This Row],[paid_usd]]-users[[#This Row],[refunded_usd]]</f>
        <v>0</v>
      </c>
      <c r="J303" s="4">
        <f>IF(users[[#This Row],[successful_payments_count]]&gt;0,1,0)</f>
        <v>0</v>
      </c>
    </row>
    <row r="304" spans="1:10">
      <c r="A304">
        <v>303</v>
      </c>
      <c r="B304" s="3">
        <v>46052.4488310185</v>
      </c>
      <c r="C304" t="s">
        <v>16</v>
      </c>
      <c r="D304" t="s">
        <v>4</v>
      </c>
      <c r="E304">
        <v>7</v>
      </c>
      <c r="F304" s="4">
        <f>COUNTIFS(payments!$B$2:$B$203,A304,payments!$F$2:$F$203,"succeeded")</f>
        <v>0</v>
      </c>
      <c r="G304" s="4">
        <f>SUMIFS(payments!$G$2:$G$203,payments!$F$2:$F$203,"succeeded",payments!$B$2:$B$203,A304)</f>
        <v>0</v>
      </c>
      <c r="H304" s="4">
        <f>SUMIF(refunds!$G$2:$G$15,A304,refunds!$D$2:$D$15)</f>
        <v>0</v>
      </c>
      <c r="I304" s="4">
        <f>users[[#This Row],[paid_usd]]-users[[#This Row],[refunded_usd]]</f>
        <v>0</v>
      </c>
      <c r="J304" s="4">
        <f>IF(users[[#This Row],[successful_payments_count]]&gt;0,1,0)</f>
        <v>0</v>
      </c>
    </row>
    <row r="305" spans="1:10">
      <c r="A305">
        <v>304</v>
      </c>
      <c r="B305" s="3">
        <v>46024.9440277778</v>
      </c>
      <c r="C305" t="s">
        <v>19</v>
      </c>
      <c r="D305" t="s">
        <v>4</v>
      </c>
      <c r="E305">
        <v>1</v>
      </c>
      <c r="F305" s="4">
        <f>COUNTIFS(payments!$B$2:$B$203,A305,payments!$F$2:$F$203,"succeeded")</f>
        <v>0</v>
      </c>
      <c r="G305" s="4">
        <f>SUMIFS(payments!$G$2:$G$203,payments!$F$2:$F$203,"succeeded",payments!$B$2:$B$203,A305)</f>
        <v>0</v>
      </c>
      <c r="H305" s="4">
        <f>SUMIF(refunds!$G$2:$G$15,A305,refunds!$D$2:$D$15)</f>
        <v>0</v>
      </c>
      <c r="I305" s="4">
        <f>users[[#This Row],[paid_usd]]-users[[#This Row],[refunded_usd]]</f>
        <v>0</v>
      </c>
      <c r="J305" s="4">
        <f>IF(users[[#This Row],[successful_payments_count]]&gt;0,1,0)</f>
        <v>0</v>
      </c>
    </row>
    <row r="306" spans="1:10">
      <c r="A306">
        <v>305</v>
      </c>
      <c r="B306" s="3">
        <v>46192.0660300926</v>
      </c>
      <c r="C306" t="s">
        <v>14</v>
      </c>
      <c r="D306" t="s">
        <v>23</v>
      </c>
      <c r="E306">
        <v>3</v>
      </c>
      <c r="F306" s="4">
        <f>COUNTIFS(payments!$B$2:$B$203,A306,payments!$F$2:$F$203,"succeeded")</f>
        <v>0</v>
      </c>
      <c r="G306" s="4">
        <f>SUMIFS(payments!$G$2:$G$203,payments!$F$2:$F$203,"succeeded",payments!$B$2:$B$203,A306)</f>
        <v>0</v>
      </c>
      <c r="H306" s="4">
        <f>SUMIF(refunds!$G$2:$G$15,A306,refunds!$D$2:$D$15)</f>
        <v>0</v>
      </c>
      <c r="I306" s="4">
        <f>users[[#This Row],[paid_usd]]-users[[#This Row],[refunded_usd]]</f>
        <v>0</v>
      </c>
      <c r="J306" s="4">
        <f>IF(users[[#This Row],[successful_payments_count]]&gt;0,1,0)</f>
        <v>0</v>
      </c>
    </row>
    <row r="307" spans="1:10">
      <c r="A307">
        <v>306</v>
      </c>
      <c r="B307" s="3">
        <v>46082.9403819444</v>
      </c>
      <c r="C307" t="s">
        <v>17</v>
      </c>
      <c r="D307" t="s">
        <v>23</v>
      </c>
      <c r="F307" s="4">
        <f>COUNTIFS(payments!$B$2:$B$203,A307,payments!$F$2:$F$203,"succeeded")</f>
        <v>1</v>
      </c>
      <c r="G307" s="4">
        <f>SUMIFS(payments!$G$2:$G$203,payments!$F$2:$F$203,"succeeded",payments!$B$2:$B$203,A307)</f>
        <v>4.99</v>
      </c>
      <c r="H307" s="4">
        <f>SUMIF(refunds!$G$2:$G$15,A307,refunds!$D$2:$D$15)</f>
        <v>0</v>
      </c>
      <c r="I307" s="4">
        <f>users[[#This Row],[paid_usd]]-users[[#This Row],[refunded_usd]]</f>
        <v>4.99</v>
      </c>
      <c r="J307" s="4">
        <f>IF(users[[#This Row],[successful_payments_count]]&gt;0,1,0)</f>
        <v>1</v>
      </c>
    </row>
    <row r="308" spans="1:10">
      <c r="A308">
        <v>307</v>
      </c>
      <c r="B308" s="3">
        <v>46060.7905324074</v>
      </c>
      <c r="C308" t="s">
        <v>16</v>
      </c>
      <c r="D308" t="s">
        <v>4</v>
      </c>
      <c r="E308">
        <v>7</v>
      </c>
      <c r="F308" s="4">
        <f>COUNTIFS(payments!$B$2:$B$203,A308,payments!$F$2:$F$203,"succeeded")</f>
        <v>0</v>
      </c>
      <c r="G308" s="4">
        <f>SUMIFS(payments!$G$2:$G$203,payments!$F$2:$F$203,"succeeded",payments!$B$2:$B$203,A308)</f>
        <v>0</v>
      </c>
      <c r="H308" s="4">
        <f>SUMIF(refunds!$G$2:$G$15,A308,refunds!$D$2:$D$15)</f>
        <v>0</v>
      </c>
      <c r="I308" s="4">
        <f>users[[#This Row],[paid_usd]]-users[[#This Row],[refunded_usd]]</f>
        <v>0</v>
      </c>
      <c r="J308" s="4">
        <f>IF(users[[#This Row],[successful_payments_count]]&gt;0,1,0)</f>
        <v>0</v>
      </c>
    </row>
    <row r="309" spans="1:10">
      <c r="A309">
        <v>308</v>
      </c>
      <c r="B309" s="3">
        <v>46095.5279282407</v>
      </c>
      <c r="C309" t="s">
        <v>18</v>
      </c>
      <c r="D309" t="s">
        <v>4</v>
      </c>
      <c r="E309">
        <v>7</v>
      </c>
      <c r="F309" s="4">
        <f>COUNTIFS(payments!$B$2:$B$203,A309,payments!$F$2:$F$203,"succeeded")</f>
        <v>2</v>
      </c>
      <c r="G309" s="4">
        <f>SUMIFS(payments!$G$2:$G$203,payments!$F$2:$F$203,"succeeded",payments!$B$2:$B$203,A309)</f>
        <v>14.98</v>
      </c>
      <c r="H309" s="4">
        <f>SUMIF(refunds!$G$2:$G$15,A309,refunds!$D$2:$D$15)</f>
        <v>0</v>
      </c>
      <c r="I309" s="4">
        <f>users[[#This Row],[paid_usd]]-users[[#This Row],[refunded_usd]]</f>
        <v>14.98</v>
      </c>
      <c r="J309" s="4">
        <f>IF(users[[#This Row],[successful_payments_count]]&gt;0,1,0)</f>
        <v>1</v>
      </c>
    </row>
    <row r="310" spans="1:10">
      <c r="A310">
        <v>309</v>
      </c>
      <c r="B310" s="3">
        <v>46121.5369560185</v>
      </c>
      <c r="C310" t="s">
        <v>16</v>
      </c>
      <c r="D310" t="s">
        <v>23</v>
      </c>
      <c r="E310">
        <v>5</v>
      </c>
      <c r="F310" s="4">
        <f>COUNTIFS(payments!$B$2:$B$203,A310,payments!$F$2:$F$203,"succeeded")</f>
        <v>0</v>
      </c>
      <c r="G310" s="4">
        <f>SUMIFS(payments!$G$2:$G$203,payments!$F$2:$F$203,"succeeded",payments!$B$2:$B$203,A310)</f>
        <v>0</v>
      </c>
      <c r="H310" s="4">
        <f>SUMIF(refunds!$G$2:$G$15,A310,refunds!$D$2:$D$15)</f>
        <v>0</v>
      </c>
      <c r="I310" s="4">
        <f>users[[#This Row],[paid_usd]]-users[[#This Row],[refunded_usd]]</f>
        <v>0</v>
      </c>
      <c r="J310" s="4">
        <f>IF(users[[#This Row],[successful_payments_count]]&gt;0,1,0)</f>
        <v>0</v>
      </c>
    </row>
    <row r="311" spans="1:10">
      <c r="A311">
        <v>310</v>
      </c>
      <c r="B311" s="3">
        <v>46102.3643634259</v>
      </c>
      <c r="C311" t="s">
        <v>18</v>
      </c>
      <c r="D311" t="s">
        <v>4</v>
      </c>
      <c r="E311">
        <v>7</v>
      </c>
      <c r="F311" s="4">
        <f>COUNTIFS(payments!$B$2:$B$203,A311,payments!$F$2:$F$203,"succeeded")</f>
        <v>1</v>
      </c>
      <c r="G311" s="4">
        <f>SUMIFS(payments!$G$2:$G$203,payments!$F$2:$F$203,"succeeded",payments!$B$2:$B$203,A311)</f>
        <v>19.99</v>
      </c>
      <c r="H311" s="4">
        <f>SUMIF(refunds!$G$2:$G$15,A311,refunds!$D$2:$D$15)</f>
        <v>0</v>
      </c>
      <c r="I311" s="4">
        <f>users[[#This Row],[paid_usd]]-users[[#This Row],[refunded_usd]]</f>
        <v>19.99</v>
      </c>
      <c r="J311" s="4">
        <f>IF(users[[#This Row],[successful_payments_count]]&gt;0,1,0)</f>
        <v>1</v>
      </c>
    </row>
    <row r="312" spans="1:10">
      <c r="A312">
        <v>311</v>
      </c>
      <c r="B312" s="3">
        <v>46043.1546412037</v>
      </c>
      <c r="C312" t="s">
        <v>18</v>
      </c>
      <c r="D312" t="s">
        <v>22</v>
      </c>
      <c r="E312">
        <v>5</v>
      </c>
      <c r="F312" s="4">
        <f>COUNTIFS(payments!$B$2:$B$203,A312,payments!$F$2:$F$203,"succeeded")</f>
        <v>0</v>
      </c>
      <c r="G312" s="4">
        <f>SUMIFS(payments!$G$2:$G$203,payments!$F$2:$F$203,"succeeded",payments!$B$2:$B$203,A312)</f>
        <v>0</v>
      </c>
      <c r="H312" s="4">
        <f>SUMIF(refunds!$G$2:$G$15,A312,refunds!$D$2:$D$15)</f>
        <v>0</v>
      </c>
      <c r="I312" s="4">
        <f>users[[#This Row],[paid_usd]]-users[[#This Row],[refunded_usd]]</f>
        <v>0</v>
      </c>
      <c r="J312" s="4">
        <f>IF(users[[#This Row],[successful_payments_count]]&gt;0,1,0)</f>
        <v>0</v>
      </c>
    </row>
    <row r="313" spans="1:10">
      <c r="A313">
        <v>312</v>
      </c>
      <c r="B313" s="3">
        <v>46038.1721643519</v>
      </c>
      <c r="C313" t="s">
        <v>18</v>
      </c>
      <c r="D313" t="s">
        <v>22</v>
      </c>
      <c r="E313">
        <v>7</v>
      </c>
      <c r="F313" s="4">
        <f>COUNTIFS(payments!$B$2:$B$203,A313,payments!$F$2:$F$203,"succeeded")</f>
        <v>0</v>
      </c>
      <c r="G313" s="4">
        <f>SUMIFS(payments!$G$2:$G$203,payments!$F$2:$F$203,"succeeded",payments!$B$2:$B$203,A313)</f>
        <v>0</v>
      </c>
      <c r="H313" s="4">
        <f>SUMIF(refunds!$G$2:$G$15,A313,refunds!$D$2:$D$15)</f>
        <v>0</v>
      </c>
      <c r="I313" s="4">
        <f>users[[#This Row],[paid_usd]]-users[[#This Row],[refunded_usd]]</f>
        <v>0</v>
      </c>
      <c r="J313" s="4">
        <f>IF(users[[#This Row],[successful_payments_count]]&gt;0,1,0)</f>
        <v>0</v>
      </c>
    </row>
    <row r="314" spans="1:10">
      <c r="A314">
        <v>313</v>
      </c>
      <c r="B314" s="3">
        <v>46045.8784490741</v>
      </c>
      <c r="C314" t="s">
        <v>19</v>
      </c>
      <c r="D314" t="s">
        <v>4</v>
      </c>
      <c r="F314" s="4">
        <f>COUNTIFS(payments!$B$2:$B$203,A314,payments!$F$2:$F$203,"succeeded")</f>
        <v>0</v>
      </c>
      <c r="G314" s="4">
        <f>SUMIFS(payments!$G$2:$G$203,payments!$F$2:$F$203,"succeeded",payments!$B$2:$B$203,A314)</f>
        <v>0</v>
      </c>
      <c r="H314" s="4">
        <f>SUMIF(refunds!$G$2:$G$15,A314,refunds!$D$2:$D$15)</f>
        <v>0</v>
      </c>
      <c r="I314" s="4">
        <f>users[[#This Row],[paid_usd]]-users[[#This Row],[refunded_usd]]</f>
        <v>0</v>
      </c>
      <c r="J314" s="4">
        <f>IF(users[[#This Row],[successful_payments_count]]&gt;0,1,0)</f>
        <v>0</v>
      </c>
    </row>
    <row r="315" spans="1:10">
      <c r="A315">
        <v>314</v>
      </c>
      <c r="B315" s="3">
        <v>46087.2226157407</v>
      </c>
      <c r="C315" t="s">
        <v>14</v>
      </c>
      <c r="D315" t="s">
        <v>23</v>
      </c>
      <c r="F315" s="4">
        <f>COUNTIFS(payments!$B$2:$B$203,A315,payments!$F$2:$F$203,"succeeded")</f>
        <v>2</v>
      </c>
      <c r="G315" s="4">
        <f>SUMIFS(payments!$G$2:$G$203,payments!$F$2:$F$203,"succeeded",payments!$B$2:$B$203,A315)</f>
        <v>12.98</v>
      </c>
      <c r="H315" s="4">
        <f>SUMIF(refunds!$G$2:$G$15,A315,refunds!$D$2:$D$15)</f>
        <v>4.99</v>
      </c>
      <c r="I315" s="4">
        <f>users[[#This Row],[paid_usd]]-users[[#This Row],[refunded_usd]]</f>
        <v>7.99</v>
      </c>
      <c r="J315" s="4">
        <f>IF(users[[#This Row],[successful_payments_count]]&gt;0,1,0)</f>
        <v>1</v>
      </c>
    </row>
    <row r="316" spans="1:10">
      <c r="A316">
        <v>315</v>
      </c>
      <c r="B316" s="3">
        <v>46047.7196296296</v>
      </c>
      <c r="C316" t="s">
        <v>19</v>
      </c>
      <c r="D316" t="s">
        <v>4</v>
      </c>
      <c r="E316">
        <v>4</v>
      </c>
      <c r="F316" s="4">
        <f>COUNTIFS(payments!$B$2:$B$203,A316,payments!$F$2:$F$203,"succeeded")</f>
        <v>0</v>
      </c>
      <c r="G316" s="4">
        <f>SUMIFS(payments!$G$2:$G$203,payments!$F$2:$F$203,"succeeded",payments!$B$2:$B$203,A316)</f>
        <v>0</v>
      </c>
      <c r="H316" s="4">
        <f>SUMIF(refunds!$G$2:$G$15,A316,refunds!$D$2:$D$15)</f>
        <v>0</v>
      </c>
      <c r="I316" s="4">
        <f>users[[#This Row],[paid_usd]]-users[[#This Row],[refunded_usd]]</f>
        <v>0</v>
      </c>
      <c r="J316" s="4">
        <f>IF(users[[#This Row],[successful_payments_count]]&gt;0,1,0)</f>
        <v>0</v>
      </c>
    </row>
    <row r="317" spans="1:10">
      <c r="A317">
        <v>316</v>
      </c>
      <c r="B317" s="3">
        <v>46029.4649074074</v>
      </c>
      <c r="C317" t="s">
        <v>14</v>
      </c>
      <c r="D317" t="s">
        <v>23</v>
      </c>
      <c r="E317">
        <v>7</v>
      </c>
      <c r="F317" s="4">
        <f>COUNTIFS(payments!$B$2:$B$203,A317,payments!$F$2:$F$203,"succeeded")</f>
        <v>0</v>
      </c>
      <c r="G317" s="4">
        <f>SUMIFS(payments!$G$2:$G$203,payments!$F$2:$F$203,"succeeded",payments!$B$2:$B$203,A317)</f>
        <v>0</v>
      </c>
      <c r="H317" s="4">
        <f>SUMIF(refunds!$G$2:$G$15,A317,refunds!$D$2:$D$15)</f>
        <v>0</v>
      </c>
      <c r="I317" s="4">
        <f>users[[#This Row],[paid_usd]]-users[[#This Row],[refunded_usd]]</f>
        <v>0</v>
      </c>
      <c r="J317" s="4">
        <f>IF(users[[#This Row],[successful_payments_count]]&gt;0,1,0)</f>
        <v>0</v>
      </c>
    </row>
    <row r="318" spans="1:10">
      <c r="A318">
        <v>317</v>
      </c>
      <c r="B318" s="3">
        <v>46158.9778356481</v>
      </c>
      <c r="C318" t="s">
        <v>15</v>
      </c>
      <c r="D318" t="s">
        <v>4</v>
      </c>
      <c r="F318" s="4">
        <f>COUNTIFS(payments!$B$2:$B$203,A318,payments!$F$2:$F$203,"succeeded")</f>
        <v>0</v>
      </c>
      <c r="G318" s="4">
        <f>SUMIFS(payments!$G$2:$G$203,payments!$F$2:$F$203,"succeeded",payments!$B$2:$B$203,A318)</f>
        <v>0</v>
      </c>
      <c r="H318" s="4">
        <f>SUMIF(refunds!$G$2:$G$15,A318,refunds!$D$2:$D$15)</f>
        <v>0</v>
      </c>
      <c r="I318" s="4">
        <f>users[[#This Row],[paid_usd]]-users[[#This Row],[refunded_usd]]</f>
        <v>0</v>
      </c>
      <c r="J318" s="4">
        <f>IF(users[[#This Row],[successful_payments_count]]&gt;0,1,0)</f>
        <v>0</v>
      </c>
    </row>
    <row r="319" spans="1:10">
      <c r="A319">
        <v>318</v>
      </c>
      <c r="B319" s="3">
        <v>46174.4804166667</v>
      </c>
      <c r="C319" t="s">
        <v>15</v>
      </c>
      <c r="D319" t="s">
        <v>4</v>
      </c>
      <c r="E319">
        <v>1</v>
      </c>
      <c r="F319" s="4">
        <f>COUNTIFS(payments!$B$2:$B$203,A319,payments!$F$2:$F$203,"succeeded")</f>
        <v>0</v>
      </c>
      <c r="G319" s="4">
        <f>SUMIFS(payments!$G$2:$G$203,payments!$F$2:$F$203,"succeeded",payments!$B$2:$B$203,A319)</f>
        <v>0</v>
      </c>
      <c r="H319" s="4">
        <f>SUMIF(refunds!$G$2:$G$15,A319,refunds!$D$2:$D$15)</f>
        <v>0</v>
      </c>
      <c r="I319" s="4">
        <f>users[[#This Row],[paid_usd]]-users[[#This Row],[refunded_usd]]</f>
        <v>0</v>
      </c>
      <c r="J319" s="4">
        <f>IF(users[[#This Row],[successful_payments_count]]&gt;0,1,0)</f>
        <v>0</v>
      </c>
    </row>
    <row r="320" spans="1:10">
      <c r="A320">
        <v>319</v>
      </c>
      <c r="B320" s="3">
        <v>46105.5250115741</v>
      </c>
      <c r="C320" t="s">
        <v>15</v>
      </c>
      <c r="D320" t="s">
        <v>4</v>
      </c>
      <c r="E320">
        <v>1</v>
      </c>
      <c r="F320" s="4">
        <f>COUNTIFS(payments!$B$2:$B$203,A320,payments!$F$2:$F$203,"succeeded")</f>
        <v>0</v>
      </c>
      <c r="G320" s="4">
        <f>SUMIFS(payments!$G$2:$G$203,payments!$F$2:$F$203,"succeeded",payments!$B$2:$B$203,A320)</f>
        <v>0</v>
      </c>
      <c r="H320" s="4">
        <f>SUMIF(refunds!$G$2:$G$15,A320,refunds!$D$2:$D$15)</f>
        <v>0</v>
      </c>
      <c r="I320" s="4">
        <f>users[[#This Row],[paid_usd]]-users[[#This Row],[refunded_usd]]</f>
        <v>0</v>
      </c>
      <c r="J320" s="4">
        <f>IF(users[[#This Row],[successful_payments_count]]&gt;0,1,0)</f>
        <v>0</v>
      </c>
    </row>
    <row r="321" spans="1:10">
      <c r="A321">
        <v>320</v>
      </c>
      <c r="B321" s="3">
        <v>46106.4589699074</v>
      </c>
      <c r="C321" t="s">
        <v>14</v>
      </c>
      <c r="D321" t="s">
        <v>22</v>
      </c>
      <c r="E321">
        <v>1</v>
      </c>
      <c r="F321" s="4">
        <f>COUNTIFS(payments!$B$2:$B$203,A321,payments!$F$2:$F$203,"succeeded")</f>
        <v>3</v>
      </c>
      <c r="G321" s="4">
        <f>SUMIFS(payments!$G$2:$G$203,payments!$F$2:$F$203,"succeeded",payments!$B$2:$B$203,A321)</f>
        <v>44.97</v>
      </c>
      <c r="H321" s="4">
        <f>SUMIF(refunds!$G$2:$G$15,A321,refunds!$D$2:$D$15)</f>
        <v>19.99</v>
      </c>
      <c r="I321" s="4">
        <f>users[[#This Row],[paid_usd]]-users[[#This Row],[refunded_usd]]</f>
        <v>24.98</v>
      </c>
      <c r="J321" s="4">
        <f>IF(users[[#This Row],[successful_payments_count]]&gt;0,1,0)</f>
        <v>1</v>
      </c>
    </row>
    <row r="322" spans="1:10">
      <c r="A322">
        <v>321</v>
      </c>
      <c r="B322" s="3">
        <v>46139.1925578704</v>
      </c>
      <c r="C322" t="s">
        <v>17</v>
      </c>
      <c r="D322" t="s">
        <v>23</v>
      </c>
      <c r="E322">
        <v>3</v>
      </c>
      <c r="F322" s="4">
        <f>COUNTIFS(payments!$B$2:$B$203,A322,payments!$F$2:$F$203,"succeeded")</f>
        <v>0</v>
      </c>
      <c r="G322" s="4">
        <f>SUMIFS(payments!$G$2:$G$203,payments!$F$2:$F$203,"succeeded",payments!$B$2:$B$203,A322)</f>
        <v>0</v>
      </c>
      <c r="H322" s="4">
        <f>SUMIF(refunds!$G$2:$G$15,A322,refunds!$D$2:$D$15)</f>
        <v>0</v>
      </c>
      <c r="I322" s="4">
        <f>users[[#This Row],[paid_usd]]-users[[#This Row],[refunded_usd]]</f>
        <v>0</v>
      </c>
      <c r="J322" s="4">
        <f>IF(users[[#This Row],[successful_payments_count]]&gt;0,1,0)</f>
        <v>0</v>
      </c>
    </row>
    <row r="323" spans="1:10">
      <c r="A323">
        <v>322</v>
      </c>
      <c r="B323" s="3">
        <v>46066.2615393518</v>
      </c>
      <c r="C323" t="s">
        <v>18</v>
      </c>
      <c r="D323" t="s">
        <v>23</v>
      </c>
      <c r="E323">
        <v>2</v>
      </c>
      <c r="F323" s="4">
        <f>COUNTIFS(payments!$B$2:$B$203,A323,payments!$F$2:$F$203,"succeeded")</f>
        <v>0</v>
      </c>
      <c r="G323" s="4">
        <f>SUMIFS(payments!$G$2:$G$203,payments!$F$2:$F$203,"succeeded",payments!$B$2:$B$203,A323)</f>
        <v>0</v>
      </c>
      <c r="H323" s="4">
        <f>SUMIF(refunds!$G$2:$G$15,A323,refunds!$D$2:$D$15)</f>
        <v>0</v>
      </c>
      <c r="I323" s="4">
        <f>users[[#This Row],[paid_usd]]-users[[#This Row],[refunded_usd]]</f>
        <v>0</v>
      </c>
      <c r="J323" s="4">
        <f>IF(users[[#This Row],[successful_payments_count]]&gt;0,1,0)</f>
        <v>0</v>
      </c>
    </row>
    <row r="324" spans="1:10">
      <c r="A324">
        <v>323</v>
      </c>
      <c r="B324" s="3">
        <v>46079.3059490741</v>
      </c>
      <c r="C324" t="s">
        <v>14</v>
      </c>
      <c r="D324" t="s">
        <v>4</v>
      </c>
      <c r="E324">
        <v>4</v>
      </c>
      <c r="F324" s="4">
        <f>COUNTIFS(payments!$B$2:$B$203,A324,payments!$F$2:$F$203,"succeeded")</f>
        <v>1</v>
      </c>
      <c r="G324" s="4">
        <f>SUMIFS(payments!$G$2:$G$203,payments!$F$2:$F$203,"succeeded",payments!$B$2:$B$203,A324)</f>
        <v>9.99</v>
      </c>
      <c r="H324" s="4">
        <f>SUMIF(refunds!$G$2:$G$15,A324,refunds!$D$2:$D$15)</f>
        <v>0</v>
      </c>
      <c r="I324" s="4">
        <f>users[[#This Row],[paid_usd]]-users[[#This Row],[refunded_usd]]</f>
        <v>9.99</v>
      </c>
      <c r="J324" s="4">
        <f>IF(users[[#This Row],[successful_payments_count]]&gt;0,1,0)</f>
        <v>1</v>
      </c>
    </row>
    <row r="325" spans="1:10">
      <c r="A325">
        <v>324</v>
      </c>
      <c r="B325" s="3">
        <v>46152.4421180556</v>
      </c>
      <c r="C325" t="s">
        <v>17</v>
      </c>
      <c r="D325" t="s">
        <v>23</v>
      </c>
      <c r="E325">
        <v>4</v>
      </c>
      <c r="F325" s="4">
        <f>COUNTIFS(payments!$B$2:$B$203,A325,payments!$F$2:$F$203,"succeeded")</f>
        <v>0</v>
      </c>
      <c r="G325" s="4">
        <f>SUMIFS(payments!$G$2:$G$203,payments!$F$2:$F$203,"succeeded",payments!$B$2:$B$203,A325)</f>
        <v>0</v>
      </c>
      <c r="H325" s="4">
        <f>SUMIF(refunds!$G$2:$G$15,A325,refunds!$D$2:$D$15)</f>
        <v>0</v>
      </c>
      <c r="I325" s="4">
        <f>users[[#This Row],[paid_usd]]-users[[#This Row],[refunded_usd]]</f>
        <v>0</v>
      </c>
      <c r="J325" s="4">
        <f>IF(users[[#This Row],[successful_payments_count]]&gt;0,1,0)</f>
        <v>0</v>
      </c>
    </row>
    <row r="326" spans="1:10">
      <c r="A326">
        <v>325</v>
      </c>
      <c r="B326" s="3">
        <v>46039.5666087963</v>
      </c>
      <c r="C326" t="s">
        <v>14</v>
      </c>
      <c r="D326" t="s">
        <v>4</v>
      </c>
      <c r="F326" s="4">
        <f>COUNTIFS(payments!$B$2:$B$203,A326,payments!$F$2:$F$203,"succeeded")</f>
        <v>0</v>
      </c>
      <c r="G326" s="4">
        <f>SUMIFS(payments!$G$2:$G$203,payments!$F$2:$F$203,"succeeded",payments!$B$2:$B$203,A326)</f>
        <v>0</v>
      </c>
      <c r="H326" s="4">
        <f>SUMIF(refunds!$G$2:$G$15,A326,refunds!$D$2:$D$15)</f>
        <v>0</v>
      </c>
      <c r="I326" s="4">
        <f>users[[#This Row],[paid_usd]]-users[[#This Row],[refunded_usd]]</f>
        <v>0</v>
      </c>
      <c r="J326" s="4">
        <f>IF(users[[#This Row],[successful_payments_count]]&gt;0,1,0)</f>
        <v>0</v>
      </c>
    </row>
    <row r="327" spans="1:10">
      <c r="A327">
        <v>326</v>
      </c>
      <c r="B327" s="3">
        <v>46166.4438078704</v>
      </c>
      <c r="C327" t="s">
        <v>19</v>
      </c>
      <c r="D327" t="s">
        <v>4</v>
      </c>
      <c r="F327" s="4">
        <f>COUNTIFS(payments!$B$2:$B$203,A327,payments!$F$2:$F$203,"succeeded")</f>
        <v>1</v>
      </c>
      <c r="G327" s="4">
        <f>SUMIFS(payments!$G$2:$G$203,payments!$F$2:$F$203,"succeeded",payments!$B$2:$B$203,A327)</f>
        <v>9.99</v>
      </c>
      <c r="H327" s="4">
        <f>SUMIF(refunds!$G$2:$G$15,A327,refunds!$D$2:$D$15)</f>
        <v>0</v>
      </c>
      <c r="I327" s="4">
        <f>users[[#This Row],[paid_usd]]-users[[#This Row],[refunded_usd]]</f>
        <v>9.99</v>
      </c>
      <c r="J327" s="4">
        <f>IF(users[[#This Row],[successful_payments_count]]&gt;0,1,0)</f>
        <v>1</v>
      </c>
    </row>
    <row r="328" spans="1:10">
      <c r="A328">
        <v>327</v>
      </c>
      <c r="B328" s="3">
        <v>46133.9731597222</v>
      </c>
      <c r="C328" t="s">
        <v>18</v>
      </c>
      <c r="D328" t="s">
        <v>22</v>
      </c>
      <c r="F328" s="4">
        <f>COUNTIFS(payments!$B$2:$B$203,A328,payments!$F$2:$F$203,"succeeded")</f>
        <v>0</v>
      </c>
      <c r="G328" s="4">
        <f>SUMIFS(payments!$G$2:$G$203,payments!$F$2:$F$203,"succeeded",payments!$B$2:$B$203,A328)</f>
        <v>0</v>
      </c>
      <c r="H328" s="4">
        <f>SUMIF(refunds!$G$2:$G$15,A328,refunds!$D$2:$D$15)</f>
        <v>0</v>
      </c>
      <c r="I328" s="4">
        <f>users[[#This Row],[paid_usd]]-users[[#This Row],[refunded_usd]]</f>
        <v>0</v>
      </c>
      <c r="J328" s="4">
        <f>IF(users[[#This Row],[successful_payments_count]]&gt;0,1,0)</f>
        <v>0</v>
      </c>
    </row>
    <row r="329" spans="1:10">
      <c r="A329">
        <v>328</v>
      </c>
      <c r="B329" s="3">
        <v>46150.5002546296</v>
      </c>
      <c r="C329" t="s">
        <v>15</v>
      </c>
      <c r="D329" t="s">
        <v>4</v>
      </c>
      <c r="E329">
        <v>3</v>
      </c>
      <c r="F329" s="4">
        <f>COUNTIFS(payments!$B$2:$B$203,A329,payments!$F$2:$F$203,"succeeded")</f>
        <v>0</v>
      </c>
      <c r="G329" s="4">
        <f>SUMIFS(payments!$G$2:$G$203,payments!$F$2:$F$203,"succeeded",payments!$B$2:$B$203,A329)</f>
        <v>0</v>
      </c>
      <c r="H329" s="4">
        <f>SUMIF(refunds!$G$2:$G$15,A329,refunds!$D$2:$D$15)</f>
        <v>0</v>
      </c>
      <c r="I329" s="4">
        <f>users[[#This Row],[paid_usd]]-users[[#This Row],[refunded_usd]]</f>
        <v>0</v>
      </c>
      <c r="J329" s="4">
        <f>IF(users[[#This Row],[successful_payments_count]]&gt;0,1,0)</f>
        <v>0</v>
      </c>
    </row>
    <row r="330" spans="1:10">
      <c r="A330">
        <v>329</v>
      </c>
      <c r="B330" s="3">
        <v>46187.6657523148</v>
      </c>
      <c r="C330" t="s">
        <v>16</v>
      </c>
      <c r="D330" t="s">
        <v>22</v>
      </c>
      <c r="E330">
        <v>5</v>
      </c>
      <c r="F330" s="4">
        <f>COUNTIFS(payments!$B$2:$B$203,A330,payments!$F$2:$F$203,"succeeded")</f>
        <v>0</v>
      </c>
      <c r="G330" s="4">
        <f>SUMIFS(payments!$G$2:$G$203,payments!$F$2:$F$203,"succeeded",payments!$B$2:$B$203,A330)</f>
        <v>0</v>
      </c>
      <c r="H330" s="4">
        <f>SUMIF(refunds!$G$2:$G$15,A330,refunds!$D$2:$D$15)</f>
        <v>0</v>
      </c>
      <c r="I330" s="4">
        <f>users[[#This Row],[paid_usd]]-users[[#This Row],[refunded_usd]]</f>
        <v>0</v>
      </c>
      <c r="J330" s="4">
        <f>IF(users[[#This Row],[successful_payments_count]]&gt;0,1,0)</f>
        <v>0</v>
      </c>
    </row>
    <row r="331" spans="1:10">
      <c r="A331">
        <v>330</v>
      </c>
      <c r="B331" s="3">
        <v>46037.8923263889</v>
      </c>
      <c r="C331" t="s">
        <v>14</v>
      </c>
      <c r="D331" t="s">
        <v>4</v>
      </c>
      <c r="E331">
        <v>7</v>
      </c>
      <c r="F331" s="4">
        <f>COUNTIFS(payments!$B$2:$B$203,A331,payments!$F$2:$F$203,"succeeded")</f>
        <v>0</v>
      </c>
      <c r="G331" s="4">
        <f>SUMIFS(payments!$G$2:$G$203,payments!$F$2:$F$203,"succeeded",payments!$B$2:$B$203,A331)</f>
        <v>0</v>
      </c>
      <c r="H331" s="4">
        <f>SUMIF(refunds!$G$2:$G$15,A331,refunds!$D$2:$D$15)</f>
        <v>0</v>
      </c>
      <c r="I331" s="4">
        <f>users[[#This Row],[paid_usd]]-users[[#This Row],[refunded_usd]]</f>
        <v>0</v>
      </c>
      <c r="J331" s="4">
        <f>IF(users[[#This Row],[successful_payments_count]]&gt;0,1,0)</f>
        <v>0</v>
      </c>
    </row>
    <row r="332" spans="1:10">
      <c r="A332">
        <v>331</v>
      </c>
      <c r="B332" s="3">
        <v>46143.1931712963</v>
      </c>
      <c r="C332" t="s">
        <v>18</v>
      </c>
      <c r="D332" t="s">
        <v>4</v>
      </c>
      <c r="E332">
        <v>3</v>
      </c>
      <c r="F332" s="4">
        <f>COUNTIFS(payments!$B$2:$B$203,A332,payments!$F$2:$F$203,"succeeded")</f>
        <v>0</v>
      </c>
      <c r="G332" s="4">
        <f>SUMIFS(payments!$G$2:$G$203,payments!$F$2:$F$203,"succeeded",payments!$B$2:$B$203,A332)</f>
        <v>0</v>
      </c>
      <c r="H332" s="4">
        <f>SUMIF(refunds!$G$2:$G$15,A332,refunds!$D$2:$D$15)</f>
        <v>0</v>
      </c>
      <c r="I332" s="4">
        <f>users[[#This Row],[paid_usd]]-users[[#This Row],[refunded_usd]]</f>
        <v>0</v>
      </c>
      <c r="J332" s="4">
        <f>IF(users[[#This Row],[successful_payments_count]]&gt;0,1,0)</f>
        <v>0</v>
      </c>
    </row>
    <row r="333" spans="1:10">
      <c r="A333">
        <v>332</v>
      </c>
      <c r="B333" s="3">
        <v>46181.9562731481</v>
      </c>
      <c r="C333" t="s">
        <v>15</v>
      </c>
      <c r="D333" t="s">
        <v>22</v>
      </c>
      <c r="F333" s="4">
        <f>COUNTIFS(payments!$B$2:$B$203,A333,payments!$F$2:$F$203,"succeeded")</f>
        <v>0</v>
      </c>
      <c r="G333" s="4">
        <f>SUMIFS(payments!$G$2:$G$203,payments!$F$2:$F$203,"succeeded",payments!$B$2:$B$203,A333)</f>
        <v>0</v>
      </c>
      <c r="H333" s="4">
        <f>SUMIF(refunds!$G$2:$G$15,A333,refunds!$D$2:$D$15)</f>
        <v>0</v>
      </c>
      <c r="I333" s="4">
        <f>users[[#This Row],[paid_usd]]-users[[#This Row],[refunded_usd]]</f>
        <v>0</v>
      </c>
      <c r="J333" s="4">
        <f>IF(users[[#This Row],[successful_payments_count]]&gt;0,1,0)</f>
        <v>0</v>
      </c>
    </row>
    <row r="334" spans="1:10">
      <c r="A334">
        <v>333</v>
      </c>
      <c r="B334" s="3">
        <v>46037.0933912037</v>
      </c>
      <c r="C334" t="s">
        <v>19</v>
      </c>
      <c r="D334" t="s">
        <v>4</v>
      </c>
      <c r="E334">
        <v>6</v>
      </c>
      <c r="F334" s="4">
        <f>COUNTIFS(payments!$B$2:$B$203,A334,payments!$F$2:$F$203,"succeeded")</f>
        <v>1</v>
      </c>
      <c r="G334" s="4">
        <f>SUMIFS(payments!$G$2:$G$203,payments!$F$2:$F$203,"succeeded",payments!$B$2:$B$203,A334)</f>
        <v>9.99</v>
      </c>
      <c r="H334" s="4">
        <f>SUMIF(refunds!$G$2:$G$15,A334,refunds!$D$2:$D$15)</f>
        <v>0</v>
      </c>
      <c r="I334" s="4">
        <f>users[[#This Row],[paid_usd]]-users[[#This Row],[refunded_usd]]</f>
        <v>9.99</v>
      </c>
      <c r="J334" s="4">
        <f>IF(users[[#This Row],[successful_payments_count]]&gt;0,1,0)</f>
        <v>1</v>
      </c>
    </row>
    <row r="335" spans="1:10">
      <c r="A335">
        <v>334</v>
      </c>
      <c r="B335" s="3">
        <v>46101.3312847222</v>
      </c>
      <c r="C335" t="s">
        <v>19</v>
      </c>
      <c r="D335" t="s">
        <v>23</v>
      </c>
      <c r="E335">
        <v>2</v>
      </c>
      <c r="F335" s="4">
        <f>COUNTIFS(payments!$B$2:$B$203,A335,payments!$F$2:$F$203,"succeeded")</f>
        <v>0</v>
      </c>
      <c r="G335" s="4">
        <f>SUMIFS(payments!$G$2:$G$203,payments!$F$2:$F$203,"succeeded",payments!$B$2:$B$203,A335)</f>
        <v>0</v>
      </c>
      <c r="H335" s="4">
        <f>SUMIF(refunds!$G$2:$G$15,A335,refunds!$D$2:$D$15)</f>
        <v>0</v>
      </c>
      <c r="I335" s="4">
        <f>users[[#This Row],[paid_usd]]-users[[#This Row],[refunded_usd]]</f>
        <v>0</v>
      </c>
      <c r="J335" s="4">
        <f>IF(users[[#This Row],[successful_payments_count]]&gt;0,1,0)</f>
        <v>0</v>
      </c>
    </row>
    <row r="336" spans="1:10">
      <c r="A336">
        <v>335</v>
      </c>
      <c r="B336" s="3">
        <v>46032.4211458333</v>
      </c>
      <c r="C336" t="s">
        <v>18</v>
      </c>
      <c r="D336" t="s">
        <v>22</v>
      </c>
      <c r="E336">
        <v>6</v>
      </c>
      <c r="F336" s="4">
        <f>COUNTIFS(payments!$B$2:$B$203,A336,payments!$F$2:$F$203,"succeeded")</f>
        <v>1</v>
      </c>
      <c r="G336" s="4">
        <f>SUMIFS(payments!$G$2:$G$203,payments!$F$2:$F$203,"succeeded",payments!$B$2:$B$203,A336)</f>
        <v>9.99</v>
      </c>
      <c r="H336" s="4">
        <f>SUMIF(refunds!$G$2:$G$15,A336,refunds!$D$2:$D$15)</f>
        <v>0</v>
      </c>
      <c r="I336" s="4">
        <f>users[[#This Row],[paid_usd]]-users[[#This Row],[refunded_usd]]</f>
        <v>9.99</v>
      </c>
      <c r="J336" s="4">
        <f>IF(users[[#This Row],[successful_payments_count]]&gt;0,1,0)</f>
        <v>1</v>
      </c>
    </row>
    <row r="337" spans="1:10">
      <c r="A337">
        <v>336</v>
      </c>
      <c r="B337" s="3">
        <v>46153.3692592593</v>
      </c>
      <c r="C337" t="s">
        <v>18</v>
      </c>
      <c r="D337" t="s">
        <v>23</v>
      </c>
      <c r="E337">
        <v>6</v>
      </c>
      <c r="F337" s="4">
        <f>COUNTIFS(payments!$B$2:$B$203,A337,payments!$F$2:$F$203,"succeeded")</f>
        <v>2</v>
      </c>
      <c r="G337" s="4">
        <f>SUMIFS(payments!$G$2:$G$203,payments!$F$2:$F$203,"succeeded",payments!$B$2:$B$203,A337)</f>
        <v>14.98</v>
      </c>
      <c r="H337" s="4">
        <f>SUMIF(refunds!$G$2:$G$15,A337,refunds!$D$2:$D$15)</f>
        <v>0</v>
      </c>
      <c r="I337" s="4">
        <f>users[[#This Row],[paid_usd]]-users[[#This Row],[refunded_usd]]</f>
        <v>14.98</v>
      </c>
      <c r="J337" s="4">
        <f>IF(users[[#This Row],[successful_payments_count]]&gt;0,1,0)</f>
        <v>1</v>
      </c>
    </row>
    <row r="338" spans="1:10">
      <c r="A338">
        <v>337</v>
      </c>
      <c r="B338" s="3">
        <v>46121.9257523148</v>
      </c>
      <c r="C338" t="s">
        <v>18</v>
      </c>
      <c r="D338" t="s">
        <v>23</v>
      </c>
      <c r="E338">
        <v>7</v>
      </c>
      <c r="F338" s="4">
        <f>COUNTIFS(payments!$B$2:$B$203,A338,payments!$F$2:$F$203,"succeeded")</f>
        <v>0</v>
      </c>
      <c r="G338" s="4">
        <f>SUMIFS(payments!$G$2:$G$203,payments!$F$2:$F$203,"succeeded",payments!$B$2:$B$203,A338)</f>
        <v>0</v>
      </c>
      <c r="H338" s="4">
        <f>SUMIF(refunds!$G$2:$G$15,A338,refunds!$D$2:$D$15)</f>
        <v>0</v>
      </c>
      <c r="I338" s="4">
        <f>users[[#This Row],[paid_usd]]-users[[#This Row],[refunded_usd]]</f>
        <v>0</v>
      </c>
      <c r="J338" s="4">
        <f>IF(users[[#This Row],[successful_payments_count]]&gt;0,1,0)</f>
        <v>0</v>
      </c>
    </row>
    <row r="339" spans="1:10">
      <c r="A339">
        <v>338</v>
      </c>
      <c r="B339" s="3">
        <v>46172.2169560185</v>
      </c>
      <c r="C339" t="s">
        <v>18</v>
      </c>
      <c r="D339" t="s">
        <v>22</v>
      </c>
      <c r="E339">
        <v>6</v>
      </c>
      <c r="F339" s="4">
        <f>COUNTIFS(payments!$B$2:$B$203,A339,payments!$F$2:$F$203,"succeeded")</f>
        <v>0</v>
      </c>
      <c r="G339" s="4">
        <f>SUMIFS(payments!$G$2:$G$203,payments!$F$2:$F$203,"succeeded",payments!$B$2:$B$203,A339)</f>
        <v>0</v>
      </c>
      <c r="H339" s="4">
        <f>SUMIF(refunds!$G$2:$G$15,A339,refunds!$D$2:$D$15)</f>
        <v>0</v>
      </c>
      <c r="I339" s="4">
        <f>users[[#This Row],[paid_usd]]-users[[#This Row],[refunded_usd]]</f>
        <v>0</v>
      </c>
      <c r="J339" s="4">
        <f>IF(users[[#This Row],[successful_payments_count]]&gt;0,1,0)</f>
        <v>0</v>
      </c>
    </row>
    <row r="340" spans="1:10">
      <c r="A340">
        <v>339</v>
      </c>
      <c r="B340" s="3">
        <v>46066.733287037</v>
      </c>
      <c r="C340" t="s">
        <v>15</v>
      </c>
      <c r="D340" t="s">
        <v>23</v>
      </c>
      <c r="E340">
        <v>6</v>
      </c>
      <c r="F340" s="4">
        <f>COUNTIFS(payments!$B$2:$B$203,A340,payments!$F$2:$F$203,"succeeded")</f>
        <v>0</v>
      </c>
      <c r="G340" s="4">
        <f>SUMIFS(payments!$G$2:$G$203,payments!$F$2:$F$203,"succeeded",payments!$B$2:$B$203,A340)</f>
        <v>0</v>
      </c>
      <c r="H340" s="4">
        <f>SUMIF(refunds!$G$2:$G$15,A340,refunds!$D$2:$D$15)</f>
        <v>0</v>
      </c>
      <c r="I340" s="4">
        <f>users[[#This Row],[paid_usd]]-users[[#This Row],[refunded_usd]]</f>
        <v>0</v>
      </c>
      <c r="J340" s="4">
        <f>IF(users[[#This Row],[successful_payments_count]]&gt;0,1,0)</f>
        <v>0</v>
      </c>
    </row>
    <row r="341" spans="1:10">
      <c r="A341">
        <v>340</v>
      </c>
      <c r="B341" s="3">
        <v>46080.9186574074</v>
      </c>
      <c r="C341" t="s">
        <v>14</v>
      </c>
      <c r="D341" t="s">
        <v>22</v>
      </c>
      <c r="E341">
        <v>4</v>
      </c>
      <c r="F341" s="4">
        <f>COUNTIFS(payments!$B$2:$B$203,A341,payments!$F$2:$F$203,"succeeded")</f>
        <v>0</v>
      </c>
      <c r="G341" s="4">
        <f>SUMIFS(payments!$G$2:$G$203,payments!$F$2:$F$203,"succeeded",payments!$B$2:$B$203,A341)</f>
        <v>0</v>
      </c>
      <c r="H341" s="4">
        <f>SUMIF(refunds!$G$2:$G$15,A341,refunds!$D$2:$D$15)</f>
        <v>0</v>
      </c>
      <c r="I341" s="4">
        <f>users[[#This Row],[paid_usd]]-users[[#This Row],[refunded_usd]]</f>
        <v>0</v>
      </c>
      <c r="J341" s="4">
        <f>IF(users[[#This Row],[successful_payments_count]]&gt;0,1,0)</f>
        <v>0</v>
      </c>
    </row>
    <row r="342" spans="1:10">
      <c r="A342">
        <v>341</v>
      </c>
      <c r="B342" s="3">
        <v>46032.866724537</v>
      </c>
      <c r="C342" t="s">
        <v>19</v>
      </c>
      <c r="D342" t="s">
        <v>4</v>
      </c>
      <c r="F342" s="4">
        <f>COUNTIFS(payments!$B$2:$B$203,A342,payments!$F$2:$F$203,"succeeded")</f>
        <v>0</v>
      </c>
      <c r="G342" s="4">
        <f>SUMIFS(payments!$G$2:$G$203,payments!$F$2:$F$203,"succeeded",payments!$B$2:$B$203,A342)</f>
        <v>0</v>
      </c>
      <c r="H342" s="4">
        <f>SUMIF(refunds!$G$2:$G$15,A342,refunds!$D$2:$D$15)</f>
        <v>0</v>
      </c>
      <c r="I342" s="4">
        <f>users[[#This Row],[paid_usd]]-users[[#This Row],[refunded_usd]]</f>
        <v>0</v>
      </c>
      <c r="J342" s="4">
        <f>IF(users[[#This Row],[successful_payments_count]]&gt;0,1,0)</f>
        <v>0</v>
      </c>
    </row>
    <row r="343" spans="1:10">
      <c r="A343">
        <v>342</v>
      </c>
      <c r="B343" s="3">
        <v>46149.1433564815</v>
      </c>
      <c r="C343" t="s">
        <v>18</v>
      </c>
      <c r="D343" t="s">
        <v>23</v>
      </c>
      <c r="E343">
        <v>1</v>
      </c>
      <c r="F343" s="4">
        <f>COUNTIFS(payments!$B$2:$B$203,A343,payments!$F$2:$F$203,"succeeded")</f>
        <v>2</v>
      </c>
      <c r="G343" s="4">
        <f>SUMIFS(payments!$G$2:$G$203,payments!$F$2:$F$203,"succeeded",payments!$B$2:$B$203,A343)</f>
        <v>29.98</v>
      </c>
      <c r="H343" s="4">
        <f>SUMIF(refunds!$G$2:$G$15,A343,refunds!$D$2:$D$15)</f>
        <v>19.99</v>
      </c>
      <c r="I343" s="4">
        <f>users[[#This Row],[paid_usd]]-users[[#This Row],[refunded_usd]]</f>
        <v>9.99</v>
      </c>
      <c r="J343" s="4">
        <f>IF(users[[#This Row],[successful_payments_count]]&gt;0,1,0)</f>
        <v>1</v>
      </c>
    </row>
    <row r="344" spans="1:10">
      <c r="A344">
        <v>343</v>
      </c>
      <c r="B344" s="3">
        <v>46162.4500694444</v>
      </c>
      <c r="C344" t="s">
        <v>18</v>
      </c>
      <c r="D344" t="s">
        <v>23</v>
      </c>
      <c r="F344" s="4">
        <f>COUNTIFS(payments!$B$2:$B$203,A344,payments!$F$2:$F$203,"succeeded")</f>
        <v>0</v>
      </c>
      <c r="G344" s="4">
        <f>SUMIFS(payments!$G$2:$G$203,payments!$F$2:$F$203,"succeeded",payments!$B$2:$B$203,A344)</f>
        <v>0</v>
      </c>
      <c r="H344" s="4">
        <f>SUMIF(refunds!$G$2:$G$15,A344,refunds!$D$2:$D$15)</f>
        <v>0</v>
      </c>
      <c r="I344" s="4">
        <f>users[[#This Row],[paid_usd]]-users[[#This Row],[refunded_usd]]</f>
        <v>0</v>
      </c>
      <c r="J344" s="4">
        <f>IF(users[[#This Row],[successful_payments_count]]&gt;0,1,0)</f>
        <v>0</v>
      </c>
    </row>
    <row r="345" spans="1:10">
      <c r="A345">
        <v>344</v>
      </c>
      <c r="B345" s="3">
        <v>46161.1914351852</v>
      </c>
      <c r="C345" t="s">
        <v>19</v>
      </c>
      <c r="D345" t="s">
        <v>4</v>
      </c>
      <c r="E345">
        <v>5</v>
      </c>
      <c r="F345" s="4">
        <f>COUNTIFS(payments!$B$2:$B$203,A345,payments!$F$2:$F$203,"succeeded")</f>
        <v>0</v>
      </c>
      <c r="G345" s="4">
        <f>SUMIFS(payments!$G$2:$G$203,payments!$F$2:$F$203,"succeeded",payments!$B$2:$B$203,A345)</f>
        <v>0</v>
      </c>
      <c r="H345" s="4">
        <f>SUMIF(refunds!$G$2:$G$15,A345,refunds!$D$2:$D$15)</f>
        <v>0</v>
      </c>
      <c r="I345" s="4">
        <f>users[[#This Row],[paid_usd]]-users[[#This Row],[refunded_usd]]</f>
        <v>0</v>
      </c>
      <c r="J345" s="4">
        <f>IF(users[[#This Row],[successful_payments_count]]&gt;0,1,0)</f>
        <v>0</v>
      </c>
    </row>
    <row r="346" spans="1:10">
      <c r="A346">
        <v>345</v>
      </c>
      <c r="B346" s="3">
        <v>46025.3585648148</v>
      </c>
      <c r="C346" t="s">
        <v>17</v>
      </c>
      <c r="D346" t="s">
        <v>23</v>
      </c>
      <c r="E346">
        <v>2</v>
      </c>
      <c r="F346" s="4">
        <f>COUNTIFS(payments!$B$2:$B$203,A346,payments!$F$2:$F$203,"succeeded")</f>
        <v>1</v>
      </c>
      <c r="G346" s="4">
        <f>SUMIFS(payments!$G$2:$G$203,payments!$F$2:$F$203,"succeeded",payments!$B$2:$B$203,A346)</f>
        <v>19.99</v>
      </c>
      <c r="H346" s="4">
        <f>SUMIF(refunds!$G$2:$G$15,A346,refunds!$D$2:$D$15)</f>
        <v>0</v>
      </c>
      <c r="I346" s="4">
        <f>users[[#This Row],[paid_usd]]-users[[#This Row],[refunded_usd]]</f>
        <v>19.99</v>
      </c>
      <c r="J346" s="4">
        <f>IF(users[[#This Row],[successful_payments_count]]&gt;0,1,0)</f>
        <v>1</v>
      </c>
    </row>
    <row r="347" spans="1:10">
      <c r="A347">
        <v>346</v>
      </c>
      <c r="B347" s="3">
        <v>46104.4774884259</v>
      </c>
      <c r="C347" t="s">
        <v>17</v>
      </c>
      <c r="D347" t="s">
        <v>23</v>
      </c>
      <c r="E347">
        <v>6</v>
      </c>
      <c r="F347" s="4">
        <f>COUNTIFS(payments!$B$2:$B$203,A347,payments!$F$2:$F$203,"succeeded")</f>
        <v>0</v>
      </c>
      <c r="G347" s="4">
        <f>SUMIFS(payments!$G$2:$G$203,payments!$F$2:$F$203,"succeeded",payments!$B$2:$B$203,A347)</f>
        <v>0</v>
      </c>
      <c r="H347" s="4">
        <f>SUMIF(refunds!$G$2:$G$15,A347,refunds!$D$2:$D$15)</f>
        <v>0</v>
      </c>
      <c r="I347" s="4">
        <f>users[[#This Row],[paid_usd]]-users[[#This Row],[refunded_usd]]</f>
        <v>0</v>
      </c>
      <c r="J347" s="4">
        <f>IF(users[[#This Row],[successful_payments_count]]&gt;0,1,0)</f>
        <v>0</v>
      </c>
    </row>
    <row r="348" spans="1:10">
      <c r="A348">
        <v>347</v>
      </c>
      <c r="B348" s="3">
        <v>46066.0599189815</v>
      </c>
      <c r="C348" t="s">
        <v>18</v>
      </c>
      <c r="D348" t="s">
        <v>4</v>
      </c>
      <c r="F348" s="4">
        <f>COUNTIFS(payments!$B$2:$B$203,A348,payments!$F$2:$F$203,"succeeded")</f>
        <v>0</v>
      </c>
      <c r="G348" s="4">
        <f>SUMIFS(payments!$G$2:$G$203,payments!$F$2:$F$203,"succeeded",payments!$B$2:$B$203,A348)</f>
        <v>0</v>
      </c>
      <c r="H348" s="4">
        <f>SUMIF(refunds!$G$2:$G$15,A348,refunds!$D$2:$D$15)</f>
        <v>0</v>
      </c>
      <c r="I348" s="4">
        <f>users[[#This Row],[paid_usd]]-users[[#This Row],[refunded_usd]]</f>
        <v>0</v>
      </c>
      <c r="J348" s="4">
        <f>IF(users[[#This Row],[successful_payments_count]]&gt;0,1,0)</f>
        <v>0</v>
      </c>
    </row>
    <row r="349" spans="1:10">
      <c r="A349">
        <v>348</v>
      </c>
      <c r="B349" s="3">
        <v>46079.8801736111</v>
      </c>
      <c r="C349" t="s">
        <v>16</v>
      </c>
      <c r="D349" t="s">
        <v>23</v>
      </c>
      <c r="F349" s="4">
        <f>COUNTIFS(payments!$B$2:$B$203,A349,payments!$F$2:$F$203,"succeeded")</f>
        <v>0</v>
      </c>
      <c r="G349" s="4">
        <f>SUMIFS(payments!$G$2:$G$203,payments!$F$2:$F$203,"succeeded",payments!$B$2:$B$203,A349)</f>
        <v>0</v>
      </c>
      <c r="H349" s="4">
        <f>SUMIF(refunds!$G$2:$G$15,A349,refunds!$D$2:$D$15)</f>
        <v>0</v>
      </c>
      <c r="I349" s="4">
        <f>users[[#This Row],[paid_usd]]-users[[#This Row],[refunded_usd]]</f>
        <v>0</v>
      </c>
      <c r="J349" s="4">
        <f>IF(users[[#This Row],[successful_payments_count]]&gt;0,1,0)</f>
        <v>0</v>
      </c>
    </row>
    <row r="350" spans="1:10">
      <c r="A350">
        <v>349</v>
      </c>
      <c r="B350" s="3">
        <v>46029.9077777778</v>
      </c>
      <c r="C350" t="s">
        <v>17</v>
      </c>
      <c r="D350" t="s">
        <v>23</v>
      </c>
      <c r="E350">
        <v>2</v>
      </c>
      <c r="F350" s="4">
        <f>COUNTIFS(payments!$B$2:$B$203,A350,payments!$F$2:$F$203,"succeeded")</f>
        <v>0</v>
      </c>
      <c r="G350" s="4">
        <f>SUMIFS(payments!$G$2:$G$203,payments!$F$2:$F$203,"succeeded",payments!$B$2:$B$203,A350)</f>
        <v>0</v>
      </c>
      <c r="H350" s="4">
        <f>SUMIF(refunds!$G$2:$G$15,A350,refunds!$D$2:$D$15)</f>
        <v>0</v>
      </c>
      <c r="I350" s="4">
        <f>users[[#This Row],[paid_usd]]-users[[#This Row],[refunded_usd]]</f>
        <v>0</v>
      </c>
      <c r="J350" s="4">
        <f>IF(users[[#This Row],[successful_payments_count]]&gt;0,1,0)</f>
        <v>0</v>
      </c>
    </row>
    <row r="351" spans="1:10">
      <c r="A351">
        <v>350</v>
      </c>
      <c r="B351" s="3">
        <v>46164.054837963</v>
      </c>
      <c r="C351" t="s">
        <v>19</v>
      </c>
      <c r="D351" t="s">
        <v>23</v>
      </c>
      <c r="E351">
        <v>4</v>
      </c>
      <c r="F351" s="4">
        <f>COUNTIFS(payments!$B$2:$B$203,A351,payments!$F$2:$F$203,"succeeded")</f>
        <v>0</v>
      </c>
      <c r="G351" s="4">
        <f>SUMIFS(payments!$G$2:$G$203,payments!$F$2:$F$203,"succeeded",payments!$B$2:$B$203,A351)</f>
        <v>0</v>
      </c>
      <c r="H351" s="4">
        <f>SUMIF(refunds!$G$2:$G$15,A351,refunds!$D$2:$D$15)</f>
        <v>0</v>
      </c>
      <c r="I351" s="4">
        <f>users[[#This Row],[paid_usd]]-users[[#This Row],[refunded_usd]]</f>
        <v>0</v>
      </c>
      <c r="J351" s="4">
        <f>IF(users[[#This Row],[successful_payments_count]]&gt;0,1,0)</f>
        <v>0</v>
      </c>
    </row>
    <row r="352" spans="1:10">
      <c r="A352">
        <v>351</v>
      </c>
      <c r="B352" s="3">
        <v>46063.8105439815</v>
      </c>
      <c r="C352" t="s">
        <v>19</v>
      </c>
      <c r="D352" t="s">
        <v>22</v>
      </c>
      <c r="F352" s="4">
        <f>COUNTIFS(payments!$B$2:$B$203,A352,payments!$F$2:$F$203,"succeeded")</f>
        <v>0</v>
      </c>
      <c r="G352" s="4">
        <f>SUMIFS(payments!$G$2:$G$203,payments!$F$2:$F$203,"succeeded",payments!$B$2:$B$203,A352)</f>
        <v>0</v>
      </c>
      <c r="H352" s="4">
        <f>SUMIF(refunds!$G$2:$G$15,A352,refunds!$D$2:$D$15)</f>
        <v>0</v>
      </c>
      <c r="I352" s="4">
        <f>users[[#This Row],[paid_usd]]-users[[#This Row],[refunded_usd]]</f>
        <v>0</v>
      </c>
      <c r="J352" s="4">
        <f>IF(users[[#This Row],[successful_payments_count]]&gt;0,1,0)</f>
        <v>0</v>
      </c>
    </row>
    <row r="353" spans="1:10">
      <c r="A353">
        <v>352</v>
      </c>
      <c r="B353" s="3">
        <v>46117.5797916667</v>
      </c>
      <c r="C353" t="s">
        <v>15</v>
      </c>
      <c r="D353" t="s">
        <v>4</v>
      </c>
      <c r="F353" s="4">
        <f>COUNTIFS(payments!$B$2:$B$203,A353,payments!$F$2:$F$203,"succeeded")</f>
        <v>0</v>
      </c>
      <c r="G353" s="4">
        <f>SUMIFS(payments!$G$2:$G$203,payments!$F$2:$F$203,"succeeded",payments!$B$2:$B$203,A353)</f>
        <v>0</v>
      </c>
      <c r="H353" s="4">
        <f>SUMIF(refunds!$G$2:$G$15,A353,refunds!$D$2:$D$15)</f>
        <v>0</v>
      </c>
      <c r="I353" s="4">
        <f>users[[#This Row],[paid_usd]]-users[[#This Row],[refunded_usd]]</f>
        <v>0</v>
      </c>
      <c r="J353" s="4">
        <f>IF(users[[#This Row],[successful_payments_count]]&gt;0,1,0)</f>
        <v>0</v>
      </c>
    </row>
    <row r="354" spans="1:10">
      <c r="A354">
        <v>353</v>
      </c>
      <c r="B354" s="3">
        <v>46036.3042013889</v>
      </c>
      <c r="C354" t="s">
        <v>17</v>
      </c>
      <c r="D354" t="s">
        <v>4</v>
      </c>
      <c r="E354">
        <v>4</v>
      </c>
      <c r="F354" s="4">
        <f>COUNTIFS(payments!$B$2:$B$203,A354,payments!$F$2:$F$203,"succeeded")</f>
        <v>0</v>
      </c>
      <c r="G354" s="4">
        <f>SUMIFS(payments!$G$2:$G$203,payments!$F$2:$F$203,"succeeded",payments!$B$2:$B$203,A354)</f>
        <v>0</v>
      </c>
      <c r="H354" s="4">
        <f>SUMIF(refunds!$G$2:$G$15,A354,refunds!$D$2:$D$15)</f>
        <v>0</v>
      </c>
      <c r="I354" s="4">
        <f>users[[#This Row],[paid_usd]]-users[[#This Row],[refunded_usd]]</f>
        <v>0</v>
      </c>
      <c r="J354" s="4">
        <f>IF(users[[#This Row],[successful_payments_count]]&gt;0,1,0)</f>
        <v>0</v>
      </c>
    </row>
    <row r="355" spans="1:10">
      <c r="A355">
        <v>354</v>
      </c>
      <c r="B355" s="3">
        <v>46050.2956481481</v>
      </c>
      <c r="C355" t="s">
        <v>15</v>
      </c>
      <c r="D355" t="s">
        <v>22</v>
      </c>
      <c r="E355">
        <v>4</v>
      </c>
      <c r="F355" s="4">
        <f>COUNTIFS(payments!$B$2:$B$203,A355,payments!$F$2:$F$203,"succeeded")</f>
        <v>0</v>
      </c>
      <c r="G355" s="4">
        <f>SUMIFS(payments!$G$2:$G$203,payments!$F$2:$F$203,"succeeded",payments!$B$2:$B$203,A355)</f>
        <v>0</v>
      </c>
      <c r="H355" s="4">
        <f>SUMIF(refunds!$G$2:$G$15,A355,refunds!$D$2:$D$15)</f>
        <v>0</v>
      </c>
      <c r="I355" s="4">
        <f>users[[#This Row],[paid_usd]]-users[[#This Row],[refunded_usd]]</f>
        <v>0</v>
      </c>
      <c r="J355" s="4">
        <f>IF(users[[#This Row],[successful_payments_count]]&gt;0,1,0)</f>
        <v>0</v>
      </c>
    </row>
    <row r="356" spans="1:10">
      <c r="A356">
        <v>355</v>
      </c>
      <c r="B356" s="3">
        <v>46031.495162037</v>
      </c>
      <c r="C356" t="s">
        <v>19</v>
      </c>
      <c r="D356" t="s">
        <v>22</v>
      </c>
      <c r="F356" s="4">
        <f>COUNTIFS(payments!$B$2:$B$203,A356,payments!$F$2:$F$203,"succeeded")</f>
        <v>1</v>
      </c>
      <c r="G356" s="4">
        <f>SUMIFS(payments!$G$2:$G$203,payments!$F$2:$F$203,"succeeded",payments!$B$2:$B$203,A356)</f>
        <v>3.99</v>
      </c>
      <c r="H356" s="4">
        <f>SUMIF(refunds!$G$2:$G$15,A356,refunds!$D$2:$D$15)</f>
        <v>0</v>
      </c>
      <c r="I356" s="4">
        <f>users[[#This Row],[paid_usd]]-users[[#This Row],[refunded_usd]]</f>
        <v>3.99</v>
      </c>
      <c r="J356" s="4">
        <f>IF(users[[#This Row],[successful_payments_count]]&gt;0,1,0)</f>
        <v>1</v>
      </c>
    </row>
    <row r="357" spans="1:10">
      <c r="A357">
        <v>356</v>
      </c>
      <c r="B357" s="3">
        <v>46175.683125</v>
      </c>
      <c r="C357" t="s">
        <v>14</v>
      </c>
      <c r="D357" t="s">
        <v>4</v>
      </c>
      <c r="E357">
        <v>1</v>
      </c>
      <c r="F357" s="4">
        <f>COUNTIFS(payments!$B$2:$B$203,A357,payments!$F$2:$F$203,"succeeded")</f>
        <v>0</v>
      </c>
      <c r="G357" s="4">
        <f>SUMIFS(payments!$G$2:$G$203,payments!$F$2:$F$203,"succeeded",payments!$B$2:$B$203,A357)</f>
        <v>0</v>
      </c>
      <c r="H357" s="4">
        <f>SUMIF(refunds!$G$2:$G$15,A357,refunds!$D$2:$D$15)</f>
        <v>0</v>
      </c>
      <c r="I357" s="4">
        <f>users[[#This Row],[paid_usd]]-users[[#This Row],[refunded_usd]]</f>
        <v>0</v>
      </c>
      <c r="J357" s="4">
        <f>IF(users[[#This Row],[successful_payments_count]]&gt;0,1,0)</f>
        <v>0</v>
      </c>
    </row>
    <row r="358" spans="1:10">
      <c r="A358">
        <v>357</v>
      </c>
      <c r="B358" s="3">
        <v>46062.4740277778</v>
      </c>
      <c r="C358" t="s">
        <v>15</v>
      </c>
      <c r="D358" t="s">
        <v>4</v>
      </c>
      <c r="E358">
        <v>3</v>
      </c>
      <c r="F358" s="4">
        <f>COUNTIFS(payments!$B$2:$B$203,A358,payments!$F$2:$F$203,"succeeded")</f>
        <v>1</v>
      </c>
      <c r="G358" s="4">
        <f>SUMIFS(payments!$G$2:$G$203,payments!$F$2:$F$203,"succeeded",payments!$B$2:$B$203,A358)</f>
        <v>9.99</v>
      </c>
      <c r="H358" s="4">
        <f>SUMIF(refunds!$G$2:$G$15,A358,refunds!$D$2:$D$15)</f>
        <v>0</v>
      </c>
      <c r="I358" s="4">
        <f>users[[#This Row],[paid_usd]]-users[[#This Row],[refunded_usd]]</f>
        <v>9.99</v>
      </c>
      <c r="J358" s="4">
        <f>IF(users[[#This Row],[successful_payments_count]]&gt;0,1,0)</f>
        <v>1</v>
      </c>
    </row>
    <row r="359" spans="1:10">
      <c r="A359">
        <v>358</v>
      </c>
      <c r="B359" s="3">
        <v>46178.1295601852</v>
      </c>
      <c r="C359" t="s">
        <v>14</v>
      </c>
      <c r="D359" t="s">
        <v>22</v>
      </c>
      <c r="F359" s="4">
        <f>COUNTIFS(payments!$B$2:$B$203,A359,payments!$F$2:$F$203,"succeeded")</f>
        <v>0</v>
      </c>
      <c r="G359" s="4">
        <f>SUMIFS(payments!$G$2:$G$203,payments!$F$2:$F$203,"succeeded",payments!$B$2:$B$203,A359)</f>
        <v>0</v>
      </c>
      <c r="H359" s="4">
        <f>SUMIF(refunds!$G$2:$G$15,A359,refunds!$D$2:$D$15)</f>
        <v>0</v>
      </c>
      <c r="I359" s="4">
        <f>users[[#This Row],[paid_usd]]-users[[#This Row],[refunded_usd]]</f>
        <v>0</v>
      </c>
      <c r="J359" s="4">
        <f>IF(users[[#This Row],[successful_payments_count]]&gt;0,1,0)</f>
        <v>0</v>
      </c>
    </row>
    <row r="360" spans="1:10">
      <c r="A360">
        <v>359</v>
      </c>
      <c r="B360" s="3">
        <v>46032.083912037</v>
      </c>
      <c r="C360" t="s">
        <v>15</v>
      </c>
      <c r="D360" t="s">
        <v>4</v>
      </c>
      <c r="E360">
        <v>4</v>
      </c>
      <c r="F360" s="4">
        <f>COUNTIFS(payments!$B$2:$B$203,A360,payments!$F$2:$F$203,"succeeded")</f>
        <v>1</v>
      </c>
      <c r="G360" s="4">
        <f>SUMIFS(payments!$G$2:$G$203,payments!$F$2:$F$203,"succeeded",payments!$B$2:$B$203,A360)</f>
        <v>9.99</v>
      </c>
      <c r="H360" s="4">
        <f>SUMIF(refunds!$G$2:$G$15,A360,refunds!$D$2:$D$15)</f>
        <v>0</v>
      </c>
      <c r="I360" s="4">
        <f>users[[#This Row],[paid_usd]]-users[[#This Row],[refunded_usd]]</f>
        <v>9.99</v>
      </c>
      <c r="J360" s="4">
        <f>IF(users[[#This Row],[successful_payments_count]]&gt;0,1,0)</f>
        <v>1</v>
      </c>
    </row>
    <row r="361" spans="1:10">
      <c r="A361">
        <v>360</v>
      </c>
      <c r="B361" s="3">
        <v>46074.5003356481</v>
      </c>
      <c r="C361" t="s">
        <v>17</v>
      </c>
      <c r="D361" t="s">
        <v>22</v>
      </c>
      <c r="E361">
        <v>6</v>
      </c>
      <c r="F361" s="4">
        <f>COUNTIFS(payments!$B$2:$B$203,A361,payments!$F$2:$F$203,"succeeded")</f>
        <v>0</v>
      </c>
      <c r="G361" s="4">
        <f>SUMIFS(payments!$G$2:$G$203,payments!$F$2:$F$203,"succeeded",payments!$B$2:$B$203,A361)</f>
        <v>0</v>
      </c>
      <c r="H361" s="4">
        <f>SUMIF(refunds!$G$2:$G$15,A361,refunds!$D$2:$D$15)</f>
        <v>0</v>
      </c>
      <c r="I361" s="4">
        <f>users[[#This Row],[paid_usd]]-users[[#This Row],[refunded_usd]]</f>
        <v>0</v>
      </c>
      <c r="J361" s="4">
        <f>IF(users[[#This Row],[successful_payments_count]]&gt;0,1,0)</f>
        <v>0</v>
      </c>
    </row>
    <row r="362" spans="1:10">
      <c r="A362">
        <v>361</v>
      </c>
      <c r="B362" s="3">
        <v>46147.0388194444</v>
      </c>
      <c r="C362" t="s">
        <v>16</v>
      </c>
      <c r="D362" t="s">
        <v>22</v>
      </c>
      <c r="F362" s="4">
        <f>COUNTIFS(payments!$B$2:$B$203,A362,payments!$F$2:$F$203,"succeeded")</f>
        <v>0</v>
      </c>
      <c r="G362" s="4">
        <f>SUMIFS(payments!$G$2:$G$203,payments!$F$2:$F$203,"succeeded",payments!$B$2:$B$203,A362)</f>
        <v>0</v>
      </c>
      <c r="H362" s="4">
        <f>SUMIF(refunds!$G$2:$G$15,A362,refunds!$D$2:$D$15)</f>
        <v>0</v>
      </c>
      <c r="I362" s="4">
        <f>users[[#This Row],[paid_usd]]-users[[#This Row],[refunded_usd]]</f>
        <v>0</v>
      </c>
      <c r="J362" s="4">
        <f>IF(users[[#This Row],[successful_payments_count]]&gt;0,1,0)</f>
        <v>0</v>
      </c>
    </row>
    <row r="363" spans="1:10">
      <c r="A363">
        <v>362</v>
      </c>
      <c r="B363" s="3">
        <v>46148.5808101852</v>
      </c>
      <c r="C363" t="s">
        <v>15</v>
      </c>
      <c r="D363" t="s">
        <v>23</v>
      </c>
      <c r="E363">
        <v>1</v>
      </c>
      <c r="F363" s="4">
        <f>COUNTIFS(payments!$B$2:$B$203,A363,payments!$F$2:$F$203,"succeeded")</f>
        <v>0</v>
      </c>
      <c r="G363" s="4">
        <f>SUMIFS(payments!$G$2:$G$203,payments!$F$2:$F$203,"succeeded",payments!$B$2:$B$203,A363)</f>
        <v>0</v>
      </c>
      <c r="H363" s="4">
        <f>SUMIF(refunds!$G$2:$G$15,A363,refunds!$D$2:$D$15)</f>
        <v>0</v>
      </c>
      <c r="I363" s="4">
        <f>users[[#This Row],[paid_usd]]-users[[#This Row],[refunded_usd]]</f>
        <v>0</v>
      </c>
      <c r="J363" s="4">
        <f>IF(users[[#This Row],[successful_payments_count]]&gt;0,1,0)</f>
        <v>0</v>
      </c>
    </row>
    <row r="364" spans="1:10">
      <c r="A364">
        <v>363</v>
      </c>
      <c r="B364" s="3">
        <v>46112.3808101852</v>
      </c>
      <c r="C364" t="s">
        <v>16</v>
      </c>
      <c r="D364" t="s">
        <v>22</v>
      </c>
      <c r="E364">
        <v>2</v>
      </c>
      <c r="F364" s="4">
        <f>COUNTIFS(payments!$B$2:$B$203,A364,payments!$F$2:$F$203,"succeeded")</f>
        <v>0</v>
      </c>
      <c r="G364" s="4">
        <f>SUMIFS(payments!$G$2:$G$203,payments!$F$2:$F$203,"succeeded",payments!$B$2:$B$203,A364)</f>
        <v>0</v>
      </c>
      <c r="H364" s="4">
        <f>SUMIF(refunds!$G$2:$G$15,A364,refunds!$D$2:$D$15)</f>
        <v>0</v>
      </c>
      <c r="I364" s="4">
        <f>users[[#This Row],[paid_usd]]-users[[#This Row],[refunded_usd]]</f>
        <v>0</v>
      </c>
      <c r="J364" s="4">
        <f>IF(users[[#This Row],[successful_payments_count]]&gt;0,1,0)</f>
        <v>0</v>
      </c>
    </row>
    <row r="365" spans="1:10">
      <c r="A365">
        <v>364</v>
      </c>
      <c r="B365" s="3">
        <v>46064.9140393519</v>
      </c>
      <c r="C365" t="s">
        <v>14</v>
      </c>
      <c r="D365" t="s">
        <v>22</v>
      </c>
      <c r="E365">
        <v>6</v>
      </c>
      <c r="F365" s="4">
        <f>COUNTIFS(payments!$B$2:$B$203,A365,payments!$F$2:$F$203,"succeeded")</f>
        <v>1</v>
      </c>
      <c r="G365" s="4">
        <f>SUMIFS(payments!$G$2:$G$203,payments!$F$2:$F$203,"succeeded",payments!$B$2:$B$203,A365)</f>
        <v>19.99</v>
      </c>
      <c r="H365" s="4">
        <f>SUMIF(refunds!$G$2:$G$15,A365,refunds!$D$2:$D$15)</f>
        <v>0</v>
      </c>
      <c r="I365" s="4">
        <f>users[[#This Row],[paid_usd]]-users[[#This Row],[refunded_usd]]</f>
        <v>19.99</v>
      </c>
      <c r="J365" s="4">
        <f>IF(users[[#This Row],[successful_payments_count]]&gt;0,1,0)</f>
        <v>1</v>
      </c>
    </row>
    <row r="366" spans="1:10">
      <c r="A366">
        <v>365</v>
      </c>
      <c r="B366" s="3">
        <v>46045.1883564815</v>
      </c>
      <c r="C366" t="s">
        <v>17</v>
      </c>
      <c r="D366" t="s">
        <v>23</v>
      </c>
      <c r="F366" s="4">
        <f>COUNTIFS(payments!$B$2:$B$203,A366,payments!$F$2:$F$203,"succeeded")</f>
        <v>0</v>
      </c>
      <c r="G366" s="4">
        <f>SUMIFS(payments!$G$2:$G$203,payments!$F$2:$F$203,"succeeded",payments!$B$2:$B$203,A366)</f>
        <v>0</v>
      </c>
      <c r="H366" s="4">
        <f>SUMIF(refunds!$G$2:$G$15,A366,refunds!$D$2:$D$15)</f>
        <v>0</v>
      </c>
      <c r="I366" s="4">
        <f>users[[#This Row],[paid_usd]]-users[[#This Row],[refunded_usd]]</f>
        <v>0</v>
      </c>
      <c r="J366" s="4">
        <f>IF(users[[#This Row],[successful_payments_count]]&gt;0,1,0)</f>
        <v>0</v>
      </c>
    </row>
    <row r="367" spans="1:10">
      <c r="A367">
        <v>366</v>
      </c>
      <c r="B367" s="3">
        <v>46164.5429166667</v>
      </c>
      <c r="C367" t="s">
        <v>15</v>
      </c>
      <c r="D367" t="s">
        <v>22</v>
      </c>
      <c r="E367">
        <v>7</v>
      </c>
      <c r="F367" s="4">
        <f>COUNTIFS(payments!$B$2:$B$203,A367,payments!$F$2:$F$203,"succeeded")</f>
        <v>0</v>
      </c>
      <c r="G367" s="4">
        <f>SUMIFS(payments!$G$2:$G$203,payments!$F$2:$F$203,"succeeded",payments!$B$2:$B$203,A367)</f>
        <v>0</v>
      </c>
      <c r="H367" s="4">
        <f>SUMIF(refunds!$G$2:$G$15,A367,refunds!$D$2:$D$15)</f>
        <v>0</v>
      </c>
      <c r="I367" s="4">
        <f>users[[#This Row],[paid_usd]]-users[[#This Row],[refunded_usd]]</f>
        <v>0</v>
      </c>
      <c r="J367" s="4">
        <f>IF(users[[#This Row],[successful_payments_count]]&gt;0,1,0)</f>
        <v>0</v>
      </c>
    </row>
    <row r="368" spans="1:10">
      <c r="A368">
        <v>367</v>
      </c>
      <c r="B368" s="3">
        <v>46162.217025463</v>
      </c>
      <c r="C368" t="s">
        <v>14</v>
      </c>
      <c r="D368" t="s">
        <v>22</v>
      </c>
      <c r="E368">
        <v>2</v>
      </c>
      <c r="F368" s="4">
        <f>COUNTIFS(payments!$B$2:$B$203,A368,payments!$F$2:$F$203,"succeeded")</f>
        <v>0</v>
      </c>
      <c r="G368" s="4">
        <f>SUMIFS(payments!$G$2:$G$203,payments!$F$2:$F$203,"succeeded",payments!$B$2:$B$203,A368)</f>
        <v>0</v>
      </c>
      <c r="H368" s="4">
        <f>SUMIF(refunds!$G$2:$G$15,A368,refunds!$D$2:$D$15)</f>
        <v>0</v>
      </c>
      <c r="I368" s="4">
        <f>users[[#This Row],[paid_usd]]-users[[#This Row],[refunded_usd]]</f>
        <v>0</v>
      </c>
      <c r="J368" s="4">
        <f>IF(users[[#This Row],[successful_payments_count]]&gt;0,1,0)</f>
        <v>0</v>
      </c>
    </row>
    <row r="369" spans="1:10">
      <c r="A369">
        <v>368</v>
      </c>
      <c r="B369" s="3">
        <v>46062.3297916667</v>
      </c>
      <c r="C369" t="s">
        <v>18</v>
      </c>
      <c r="D369" t="s">
        <v>4</v>
      </c>
      <c r="E369">
        <v>2</v>
      </c>
      <c r="F369" s="4">
        <f>COUNTIFS(payments!$B$2:$B$203,A369,payments!$F$2:$F$203,"succeeded")</f>
        <v>1</v>
      </c>
      <c r="G369" s="4">
        <f>SUMIFS(payments!$G$2:$G$203,payments!$F$2:$F$203,"succeeded",payments!$B$2:$B$203,A369)</f>
        <v>4.99</v>
      </c>
      <c r="H369" s="4">
        <f>SUMIF(refunds!$G$2:$G$15,A369,refunds!$D$2:$D$15)</f>
        <v>0</v>
      </c>
      <c r="I369" s="4">
        <f>users[[#This Row],[paid_usd]]-users[[#This Row],[refunded_usd]]</f>
        <v>4.99</v>
      </c>
      <c r="J369" s="4">
        <f>IF(users[[#This Row],[successful_payments_count]]&gt;0,1,0)</f>
        <v>1</v>
      </c>
    </row>
    <row r="370" spans="1:10">
      <c r="A370">
        <v>369</v>
      </c>
      <c r="B370" s="3">
        <v>46052.9811342593</v>
      </c>
      <c r="C370" t="s">
        <v>19</v>
      </c>
      <c r="D370" t="s">
        <v>23</v>
      </c>
      <c r="E370">
        <v>1</v>
      </c>
      <c r="F370" s="4">
        <f>COUNTIFS(payments!$B$2:$B$203,A370,payments!$F$2:$F$203,"succeeded")</f>
        <v>4</v>
      </c>
      <c r="G370" s="4">
        <f>SUMIFS(payments!$G$2:$G$203,payments!$F$2:$F$203,"succeeded",payments!$B$2:$B$203,A370)</f>
        <v>44.96</v>
      </c>
      <c r="H370" s="4">
        <f>SUMIF(refunds!$G$2:$G$15,A370,refunds!$D$2:$D$15)</f>
        <v>19.98</v>
      </c>
      <c r="I370" s="4">
        <f>users[[#This Row],[paid_usd]]-users[[#This Row],[refunded_usd]]</f>
        <v>24.98</v>
      </c>
      <c r="J370" s="4">
        <f>IF(users[[#This Row],[successful_payments_count]]&gt;0,1,0)</f>
        <v>1</v>
      </c>
    </row>
    <row r="371" spans="1:10">
      <c r="A371">
        <v>370</v>
      </c>
      <c r="B371" s="3">
        <v>46187.0250231481</v>
      </c>
      <c r="C371" t="s">
        <v>19</v>
      </c>
      <c r="D371" t="s">
        <v>23</v>
      </c>
      <c r="F371" s="4">
        <f>COUNTIFS(payments!$B$2:$B$203,A371,payments!$F$2:$F$203,"succeeded")</f>
        <v>0</v>
      </c>
      <c r="G371" s="4">
        <f>SUMIFS(payments!$G$2:$G$203,payments!$F$2:$F$203,"succeeded",payments!$B$2:$B$203,A371)</f>
        <v>0</v>
      </c>
      <c r="H371" s="4">
        <f>SUMIF(refunds!$G$2:$G$15,A371,refunds!$D$2:$D$15)</f>
        <v>0</v>
      </c>
      <c r="I371" s="4">
        <f>users[[#This Row],[paid_usd]]-users[[#This Row],[refunded_usd]]</f>
        <v>0</v>
      </c>
      <c r="J371" s="4">
        <f>IF(users[[#This Row],[successful_payments_count]]&gt;0,1,0)</f>
        <v>0</v>
      </c>
    </row>
    <row r="372" spans="1:10">
      <c r="A372">
        <v>371</v>
      </c>
      <c r="B372" s="3">
        <v>46091.8920486111</v>
      </c>
      <c r="C372" t="s">
        <v>19</v>
      </c>
      <c r="D372" t="s">
        <v>23</v>
      </c>
      <c r="E372">
        <v>7</v>
      </c>
      <c r="F372" s="4">
        <f>COUNTIFS(payments!$B$2:$B$203,A372,payments!$F$2:$F$203,"succeeded")</f>
        <v>1</v>
      </c>
      <c r="G372" s="4">
        <f>SUMIFS(payments!$G$2:$G$203,payments!$F$2:$F$203,"succeeded",payments!$B$2:$B$203,A372)</f>
        <v>4.99</v>
      </c>
      <c r="H372" s="4">
        <f>SUMIF(refunds!$G$2:$G$15,A372,refunds!$D$2:$D$15)</f>
        <v>0</v>
      </c>
      <c r="I372" s="4">
        <f>users[[#This Row],[paid_usd]]-users[[#This Row],[refunded_usd]]</f>
        <v>4.99</v>
      </c>
      <c r="J372" s="4">
        <f>IF(users[[#This Row],[successful_payments_count]]&gt;0,1,0)</f>
        <v>1</v>
      </c>
    </row>
    <row r="373" spans="1:10">
      <c r="A373">
        <v>372</v>
      </c>
      <c r="B373" s="3">
        <v>46040.2708796296</v>
      </c>
      <c r="C373" t="s">
        <v>18</v>
      </c>
      <c r="D373" t="s">
        <v>23</v>
      </c>
      <c r="F373" s="4">
        <f>COUNTIFS(payments!$B$2:$B$203,A373,payments!$F$2:$F$203,"succeeded")</f>
        <v>0</v>
      </c>
      <c r="G373" s="4">
        <f>SUMIFS(payments!$G$2:$G$203,payments!$F$2:$F$203,"succeeded",payments!$B$2:$B$203,A373)</f>
        <v>0</v>
      </c>
      <c r="H373" s="4">
        <f>SUMIF(refunds!$G$2:$G$15,A373,refunds!$D$2:$D$15)</f>
        <v>0</v>
      </c>
      <c r="I373" s="4">
        <f>users[[#This Row],[paid_usd]]-users[[#This Row],[refunded_usd]]</f>
        <v>0</v>
      </c>
      <c r="J373" s="4">
        <f>IF(users[[#This Row],[successful_payments_count]]&gt;0,1,0)</f>
        <v>0</v>
      </c>
    </row>
    <row r="374" spans="1:10">
      <c r="A374">
        <v>373</v>
      </c>
      <c r="B374" s="3">
        <v>46139.4526388889</v>
      </c>
      <c r="C374" t="s">
        <v>14</v>
      </c>
      <c r="D374" t="s">
        <v>23</v>
      </c>
      <c r="E374">
        <v>7</v>
      </c>
      <c r="F374" s="4">
        <f>COUNTIFS(payments!$B$2:$B$203,A374,payments!$F$2:$F$203,"succeeded")</f>
        <v>0</v>
      </c>
      <c r="G374" s="4">
        <f>SUMIFS(payments!$G$2:$G$203,payments!$F$2:$F$203,"succeeded",payments!$B$2:$B$203,A374)</f>
        <v>0</v>
      </c>
      <c r="H374" s="4">
        <f>SUMIF(refunds!$G$2:$G$15,A374,refunds!$D$2:$D$15)</f>
        <v>0</v>
      </c>
      <c r="I374" s="4">
        <f>users[[#This Row],[paid_usd]]-users[[#This Row],[refunded_usd]]</f>
        <v>0</v>
      </c>
      <c r="J374" s="4">
        <f>IF(users[[#This Row],[successful_payments_count]]&gt;0,1,0)</f>
        <v>0</v>
      </c>
    </row>
    <row r="375" spans="1:10">
      <c r="A375">
        <v>374</v>
      </c>
      <c r="B375" s="3">
        <v>46174.9920486111</v>
      </c>
      <c r="C375" t="s">
        <v>18</v>
      </c>
      <c r="D375" t="s">
        <v>4</v>
      </c>
      <c r="E375">
        <v>3</v>
      </c>
      <c r="F375" s="4">
        <f>COUNTIFS(payments!$B$2:$B$203,A375,payments!$F$2:$F$203,"succeeded")</f>
        <v>0</v>
      </c>
      <c r="G375" s="4">
        <f>SUMIFS(payments!$G$2:$G$203,payments!$F$2:$F$203,"succeeded",payments!$B$2:$B$203,A375)</f>
        <v>0</v>
      </c>
      <c r="H375" s="4">
        <f>SUMIF(refunds!$G$2:$G$15,A375,refunds!$D$2:$D$15)</f>
        <v>0</v>
      </c>
      <c r="I375" s="4">
        <f>users[[#This Row],[paid_usd]]-users[[#This Row],[refunded_usd]]</f>
        <v>0</v>
      </c>
      <c r="J375" s="4">
        <f>IF(users[[#This Row],[successful_payments_count]]&gt;0,1,0)</f>
        <v>0</v>
      </c>
    </row>
    <row r="376" spans="1:10">
      <c r="A376">
        <v>375</v>
      </c>
      <c r="B376" s="3">
        <v>46100.9477199074</v>
      </c>
      <c r="C376" t="s">
        <v>15</v>
      </c>
      <c r="D376" t="s">
        <v>23</v>
      </c>
      <c r="F376" s="4">
        <f>COUNTIFS(payments!$B$2:$B$203,A376,payments!$F$2:$F$203,"succeeded")</f>
        <v>1</v>
      </c>
      <c r="G376" s="4">
        <f>SUMIFS(payments!$G$2:$G$203,payments!$F$2:$F$203,"succeeded",payments!$B$2:$B$203,A376)</f>
        <v>4.99</v>
      </c>
      <c r="H376" s="4">
        <f>SUMIF(refunds!$G$2:$G$15,A376,refunds!$D$2:$D$15)</f>
        <v>0</v>
      </c>
      <c r="I376" s="4">
        <f>users[[#This Row],[paid_usd]]-users[[#This Row],[refunded_usd]]</f>
        <v>4.99</v>
      </c>
      <c r="J376" s="4">
        <f>IF(users[[#This Row],[successful_payments_count]]&gt;0,1,0)</f>
        <v>1</v>
      </c>
    </row>
    <row r="377" spans="1:10">
      <c r="A377">
        <v>376</v>
      </c>
      <c r="B377" s="3">
        <v>46152.1775694444</v>
      </c>
      <c r="C377" t="s">
        <v>19</v>
      </c>
      <c r="D377" t="s">
        <v>23</v>
      </c>
      <c r="E377">
        <v>6</v>
      </c>
      <c r="F377" s="4">
        <f>COUNTIFS(payments!$B$2:$B$203,A377,payments!$F$2:$F$203,"succeeded")</f>
        <v>0</v>
      </c>
      <c r="G377" s="4">
        <f>SUMIFS(payments!$G$2:$G$203,payments!$F$2:$F$203,"succeeded",payments!$B$2:$B$203,A377)</f>
        <v>0</v>
      </c>
      <c r="H377" s="4">
        <f>SUMIF(refunds!$G$2:$G$15,A377,refunds!$D$2:$D$15)</f>
        <v>0</v>
      </c>
      <c r="I377" s="4">
        <f>users[[#This Row],[paid_usd]]-users[[#This Row],[refunded_usd]]</f>
        <v>0</v>
      </c>
      <c r="J377" s="4">
        <f>IF(users[[#This Row],[successful_payments_count]]&gt;0,1,0)</f>
        <v>0</v>
      </c>
    </row>
    <row r="378" spans="1:10">
      <c r="A378">
        <v>377</v>
      </c>
      <c r="B378" s="3">
        <v>46076.3240162037</v>
      </c>
      <c r="C378" t="s">
        <v>17</v>
      </c>
      <c r="D378" t="s">
        <v>22</v>
      </c>
      <c r="F378" s="4">
        <f>COUNTIFS(payments!$B$2:$B$203,A378,payments!$F$2:$F$203,"succeeded")</f>
        <v>0</v>
      </c>
      <c r="G378" s="4">
        <f>SUMIFS(payments!$G$2:$G$203,payments!$F$2:$F$203,"succeeded",payments!$B$2:$B$203,A378)</f>
        <v>0</v>
      </c>
      <c r="H378" s="4">
        <f>SUMIF(refunds!$G$2:$G$15,A378,refunds!$D$2:$D$15)</f>
        <v>0</v>
      </c>
      <c r="I378" s="4">
        <f>users[[#This Row],[paid_usd]]-users[[#This Row],[refunded_usd]]</f>
        <v>0</v>
      </c>
      <c r="J378" s="4">
        <f>IF(users[[#This Row],[successful_payments_count]]&gt;0,1,0)</f>
        <v>0</v>
      </c>
    </row>
    <row r="379" spans="1:10">
      <c r="A379">
        <v>378</v>
      </c>
      <c r="B379" s="3">
        <v>46179.0957986111</v>
      </c>
      <c r="C379" t="s">
        <v>14</v>
      </c>
      <c r="D379" t="s">
        <v>4</v>
      </c>
      <c r="E379">
        <v>2</v>
      </c>
      <c r="F379" s="4">
        <f>COUNTIFS(payments!$B$2:$B$203,A379,payments!$F$2:$F$203,"succeeded")</f>
        <v>0</v>
      </c>
      <c r="G379" s="4">
        <f>SUMIFS(payments!$G$2:$G$203,payments!$F$2:$F$203,"succeeded",payments!$B$2:$B$203,A379)</f>
        <v>0</v>
      </c>
      <c r="H379" s="4">
        <f>SUMIF(refunds!$G$2:$G$15,A379,refunds!$D$2:$D$15)</f>
        <v>0</v>
      </c>
      <c r="I379" s="4">
        <f>users[[#This Row],[paid_usd]]-users[[#This Row],[refunded_usd]]</f>
        <v>0</v>
      </c>
      <c r="J379" s="4">
        <f>IF(users[[#This Row],[successful_payments_count]]&gt;0,1,0)</f>
        <v>0</v>
      </c>
    </row>
    <row r="380" spans="1:10">
      <c r="A380">
        <v>379</v>
      </c>
      <c r="B380" s="3">
        <v>46102.1194097222</v>
      </c>
      <c r="C380" t="s">
        <v>14</v>
      </c>
      <c r="D380" t="s">
        <v>23</v>
      </c>
      <c r="E380">
        <v>6</v>
      </c>
      <c r="F380" s="4">
        <f>COUNTIFS(payments!$B$2:$B$203,A380,payments!$F$2:$F$203,"succeeded")</f>
        <v>0</v>
      </c>
      <c r="G380" s="4">
        <f>SUMIFS(payments!$G$2:$G$203,payments!$F$2:$F$203,"succeeded",payments!$B$2:$B$203,A380)</f>
        <v>0</v>
      </c>
      <c r="H380" s="4">
        <f>SUMIF(refunds!$G$2:$G$15,A380,refunds!$D$2:$D$15)</f>
        <v>0</v>
      </c>
      <c r="I380" s="4">
        <f>users[[#This Row],[paid_usd]]-users[[#This Row],[refunded_usd]]</f>
        <v>0</v>
      </c>
      <c r="J380" s="4">
        <f>IF(users[[#This Row],[successful_payments_count]]&gt;0,1,0)</f>
        <v>0</v>
      </c>
    </row>
    <row r="381" spans="1:10">
      <c r="A381">
        <v>380</v>
      </c>
      <c r="B381" s="3">
        <v>46150.5525462963</v>
      </c>
      <c r="C381" t="s">
        <v>17</v>
      </c>
      <c r="D381" t="s">
        <v>23</v>
      </c>
      <c r="E381">
        <v>6</v>
      </c>
      <c r="F381" s="4">
        <f>COUNTIFS(payments!$B$2:$B$203,A381,payments!$F$2:$F$203,"succeeded")</f>
        <v>0</v>
      </c>
      <c r="G381" s="4">
        <f>SUMIFS(payments!$G$2:$G$203,payments!$F$2:$F$203,"succeeded",payments!$B$2:$B$203,A381)</f>
        <v>0</v>
      </c>
      <c r="H381" s="4">
        <f>SUMIF(refunds!$G$2:$G$15,A381,refunds!$D$2:$D$15)</f>
        <v>0</v>
      </c>
      <c r="I381" s="4">
        <f>users[[#This Row],[paid_usd]]-users[[#This Row],[refunded_usd]]</f>
        <v>0</v>
      </c>
      <c r="J381" s="4">
        <f>IF(users[[#This Row],[successful_payments_count]]&gt;0,1,0)</f>
        <v>0</v>
      </c>
    </row>
    <row r="382" spans="1:10">
      <c r="A382">
        <v>381</v>
      </c>
      <c r="B382" s="3">
        <v>46023.3519328704</v>
      </c>
      <c r="C382" t="s">
        <v>16</v>
      </c>
      <c r="D382" t="s">
        <v>4</v>
      </c>
      <c r="F382" s="4">
        <f>COUNTIFS(payments!$B$2:$B$203,A382,payments!$F$2:$F$203,"succeeded")</f>
        <v>1</v>
      </c>
      <c r="G382" s="4">
        <f>SUMIFS(payments!$G$2:$G$203,payments!$F$2:$F$203,"succeeded",payments!$B$2:$B$203,A382)</f>
        <v>4.99</v>
      </c>
      <c r="H382" s="4">
        <f>SUMIF(refunds!$G$2:$G$15,A382,refunds!$D$2:$D$15)</f>
        <v>0</v>
      </c>
      <c r="I382" s="4">
        <f>users[[#This Row],[paid_usd]]-users[[#This Row],[refunded_usd]]</f>
        <v>4.99</v>
      </c>
      <c r="J382" s="4">
        <f>IF(users[[#This Row],[successful_payments_count]]&gt;0,1,0)</f>
        <v>1</v>
      </c>
    </row>
    <row r="383" spans="1:10">
      <c r="A383">
        <v>382</v>
      </c>
      <c r="B383" s="3">
        <v>46076.8044097222</v>
      </c>
      <c r="C383" t="s">
        <v>17</v>
      </c>
      <c r="D383" t="s">
        <v>4</v>
      </c>
      <c r="E383">
        <v>4</v>
      </c>
      <c r="F383" s="4">
        <f>COUNTIFS(payments!$B$2:$B$203,A383,payments!$F$2:$F$203,"succeeded")</f>
        <v>1</v>
      </c>
      <c r="G383" s="4">
        <f>SUMIFS(payments!$G$2:$G$203,payments!$F$2:$F$203,"succeeded",payments!$B$2:$B$203,A383)</f>
        <v>19.99</v>
      </c>
      <c r="H383" s="4">
        <f>SUMIF(refunds!$G$2:$G$15,A383,refunds!$D$2:$D$15)</f>
        <v>0</v>
      </c>
      <c r="I383" s="4">
        <f>users[[#This Row],[paid_usd]]-users[[#This Row],[refunded_usd]]</f>
        <v>19.99</v>
      </c>
      <c r="J383" s="4">
        <f>IF(users[[#This Row],[successful_payments_count]]&gt;0,1,0)</f>
        <v>1</v>
      </c>
    </row>
    <row r="384" spans="1:10">
      <c r="A384">
        <v>383</v>
      </c>
      <c r="B384" s="3">
        <v>46164.3207291667</v>
      </c>
      <c r="C384" t="s">
        <v>19</v>
      </c>
      <c r="D384" t="s">
        <v>22</v>
      </c>
      <c r="F384" s="4">
        <f>COUNTIFS(payments!$B$2:$B$203,A384,payments!$F$2:$F$203,"succeeded")</f>
        <v>0</v>
      </c>
      <c r="G384" s="4">
        <f>SUMIFS(payments!$G$2:$G$203,payments!$F$2:$F$203,"succeeded",payments!$B$2:$B$203,A384)</f>
        <v>0</v>
      </c>
      <c r="H384" s="4">
        <f>SUMIF(refunds!$G$2:$G$15,A384,refunds!$D$2:$D$15)</f>
        <v>0</v>
      </c>
      <c r="I384" s="4">
        <f>users[[#This Row],[paid_usd]]-users[[#This Row],[refunded_usd]]</f>
        <v>0</v>
      </c>
      <c r="J384" s="4">
        <f>IF(users[[#This Row],[successful_payments_count]]&gt;0,1,0)</f>
        <v>0</v>
      </c>
    </row>
    <row r="385" spans="1:10">
      <c r="A385">
        <v>384</v>
      </c>
      <c r="B385" s="3">
        <v>46027.919212963</v>
      </c>
      <c r="C385" t="s">
        <v>19</v>
      </c>
      <c r="D385" t="s">
        <v>22</v>
      </c>
      <c r="F385" s="4">
        <f>COUNTIFS(payments!$B$2:$B$203,A385,payments!$F$2:$F$203,"succeeded")</f>
        <v>2</v>
      </c>
      <c r="G385" s="4">
        <f>SUMIFS(payments!$G$2:$G$203,payments!$F$2:$F$203,"succeeded",payments!$B$2:$B$203,A385)</f>
        <v>29.98</v>
      </c>
      <c r="H385" s="4">
        <f>SUMIF(refunds!$G$2:$G$15,A385,refunds!$D$2:$D$15)</f>
        <v>19.99</v>
      </c>
      <c r="I385" s="4">
        <f>users[[#This Row],[paid_usd]]-users[[#This Row],[refunded_usd]]</f>
        <v>9.99</v>
      </c>
      <c r="J385" s="4">
        <f>IF(users[[#This Row],[successful_payments_count]]&gt;0,1,0)</f>
        <v>1</v>
      </c>
    </row>
    <row r="386" spans="1:10">
      <c r="A386">
        <v>385</v>
      </c>
      <c r="B386" s="3">
        <v>46165.8530208333</v>
      </c>
      <c r="C386" t="s">
        <v>19</v>
      </c>
      <c r="D386" t="s">
        <v>22</v>
      </c>
      <c r="E386">
        <v>2</v>
      </c>
      <c r="F386" s="4">
        <f>COUNTIFS(payments!$B$2:$B$203,A386,payments!$F$2:$F$203,"succeeded")</f>
        <v>0</v>
      </c>
      <c r="G386" s="4">
        <f>SUMIFS(payments!$G$2:$G$203,payments!$F$2:$F$203,"succeeded",payments!$B$2:$B$203,A386)</f>
        <v>0</v>
      </c>
      <c r="H386" s="4">
        <f>SUMIF(refunds!$G$2:$G$15,A386,refunds!$D$2:$D$15)</f>
        <v>0</v>
      </c>
      <c r="I386" s="4">
        <f>users[[#This Row],[paid_usd]]-users[[#This Row],[refunded_usd]]</f>
        <v>0</v>
      </c>
      <c r="J386" s="4">
        <f>IF(users[[#This Row],[successful_payments_count]]&gt;0,1,0)</f>
        <v>0</v>
      </c>
    </row>
    <row r="387" spans="1:10">
      <c r="A387">
        <v>386</v>
      </c>
      <c r="B387" s="3">
        <v>46064.4633333333</v>
      </c>
      <c r="C387" t="s">
        <v>15</v>
      </c>
      <c r="D387" t="s">
        <v>4</v>
      </c>
      <c r="E387">
        <v>2</v>
      </c>
      <c r="F387" s="4">
        <f>COUNTIFS(payments!$B$2:$B$203,A387,payments!$F$2:$F$203,"succeeded")</f>
        <v>0</v>
      </c>
      <c r="G387" s="4">
        <f>SUMIFS(payments!$G$2:$G$203,payments!$F$2:$F$203,"succeeded",payments!$B$2:$B$203,A387)</f>
        <v>0</v>
      </c>
      <c r="H387" s="4">
        <f>SUMIF(refunds!$G$2:$G$15,A387,refunds!$D$2:$D$15)</f>
        <v>0</v>
      </c>
      <c r="I387" s="4">
        <f>users[[#This Row],[paid_usd]]-users[[#This Row],[refunded_usd]]</f>
        <v>0</v>
      </c>
      <c r="J387" s="4">
        <f>IF(users[[#This Row],[successful_payments_count]]&gt;0,1,0)</f>
        <v>0</v>
      </c>
    </row>
    <row r="388" spans="1:10">
      <c r="A388">
        <v>387</v>
      </c>
      <c r="B388" s="3">
        <v>46110.4824189815</v>
      </c>
      <c r="C388" t="s">
        <v>17</v>
      </c>
      <c r="D388" t="s">
        <v>23</v>
      </c>
      <c r="E388">
        <v>7</v>
      </c>
      <c r="F388" s="4">
        <f>COUNTIFS(payments!$B$2:$B$203,A388,payments!$F$2:$F$203,"succeeded")</f>
        <v>0</v>
      </c>
      <c r="G388" s="4">
        <f>SUMIFS(payments!$G$2:$G$203,payments!$F$2:$F$203,"succeeded",payments!$B$2:$B$203,A388)</f>
        <v>0</v>
      </c>
      <c r="H388" s="4">
        <f>SUMIF(refunds!$G$2:$G$15,A388,refunds!$D$2:$D$15)</f>
        <v>0</v>
      </c>
      <c r="I388" s="4">
        <f>users[[#This Row],[paid_usd]]-users[[#This Row],[refunded_usd]]</f>
        <v>0</v>
      </c>
      <c r="J388" s="4">
        <f>IF(users[[#This Row],[successful_payments_count]]&gt;0,1,0)</f>
        <v>0</v>
      </c>
    </row>
    <row r="389" spans="1:10">
      <c r="A389">
        <v>388</v>
      </c>
      <c r="B389" s="3">
        <v>46098.2217824074</v>
      </c>
      <c r="C389" t="s">
        <v>17</v>
      </c>
      <c r="D389" t="s">
        <v>22</v>
      </c>
      <c r="E389">
        <v>7</v>
      </c>
      <c r="F389" s="4">
        <f>COUNTIFS(payments!$B$2:$B$203,A389,payments!$F$2:$F$203,"succeeded")</f>
        <v>1</v>
      </c>
      <c r="G389" s="4">
        <f>SUMIFS(payments!$G$2:$G$203,payments!$F$2:$F$203,"succeeded",payments!$B$2:$B$203,A389)</f>
        <v>4.99</v>
      </c>
      <c r="H389" s="4">
        <f>SUMIF(refunds!$G$2:$G$15,A389,refunds!$D$2:$D$15)</f>
        <v>0</v>
      </c>
      <c r="I389" s="4">
        <f>users[[#This Row],[paid_usd]]-users[[#This Row],[refunded_usd]]</f>
        <v>4.99</v>
      </c>
      <c r="J389" s="4">
        <f>IF(users[[#This Row],[successful_payments_count]]&gt;0,1,0)</f>
        <v>1</v>
      </c>
    </row>
    <row r="390" spans="1:10">
      <c r="A390">
        <v>389</v>
      </c>
      <c r="B390" s="3">
        <v>46092.3405671296</v>
      </c>
      <c r="C390" t="s">
        <v>19</v>
      </c>
      <c r="D390" t="s">
        <v>4</v>
      </c>
      <c r="F390" s="4">
        <f>COUNTIFS(payments!$B$2:$B$203,A390,payments!$F$2:$F$203,"succeeded")</f>
        <v>1</v>
      </c>
      <c r="G390" s="4">
        <f>SUMIFS(payments!$G$2:$G$203,payments!$F$2:$F$203,"succeeded",payments!$B$2:$B$203,A390)</f>
        <v>4.99</v>
      </c>
      <c r="H390" s="4">
        <f>SUMIF(refunds!$G$2:$G$15,A390,refunds!$D$2:$D$15)</f>
        <v>0</v>
      </c>
      <c r="I390" s="4">
        <f>users[[#This Row],[paid_usd]]-users[[#This Row],[refunded_usd]]</f>
        <v>4.99</v>
      </c>
      <c r="J390" s="4">
        <f>IF(users[[#This Row],[successful_payments_count]]&gt;0,1,0)</f>
        <v>1</v>
      </c>
    </row>
    <row r="391" spans="1:10">
      <c r="A391">
        <v>390</v>
      </c>
      <c r="B391" s="3">
        <v>46153.4755092593</v>
      </c>
      <c r="C391" t="s">
        <v>14</v>
      </c>
      <c r="D391" t="s">
        <v>22</v>
      </c>
      <c r="E391">
        <v>2</v>
      </c>
      <c r="F391" s="4">
        <f>COUNTIFS(payments!$B$2:$B$203,A391,payments!$F$2:$F$203,"succeeded")</f>
        <v>3</v>
      </c>
      <c r="G391" s="4">
        <f>SUMIFS(payments!$G$2:$G$203,payments!$F$2:$F$203,"succeeded",payments!$B$2:$B$203,A391)</f>
        <v>29.97</v>
      </c>
      <c r="H391" s="4">
        <f>SUMIF(refunds!$G$2:$G$15,A391,refunds!$D$2:$D$15)</f>
        <v>4.99</v>
      </c>
      <c r="I391" s="4">
        <f>users[[#This Row],[paid_usd]]-users[[#This Row],[refunded_usd]]</f>
        <v>24.98</v>
      </c>
      <c r="J391" s="4">
        <f>IF(users[[#This Row],[successful_payments_count]]&gt;0,1,0)</f>
        <v>1</v>
      </c>
    </row>
    <row r="392" spans="1:10">
      <c r="A392">
        <v>391</v>
      </c>
      <c r="B392" s="3">
        <v>46091.7467361111</v>
      </c>
      <c r="C392" t="s">
        <v>19</v>
      </c>
      <c r="D392" t="s">
        <v>23</v>
      </c>
      <c r="E392">
        <v>2</v>
      </c>
      <c r="F392" s="4">
        <f>COUNTIFS(payments!$B$2:$B$203,A392,payments!$F$2:$F$203,"succeeded")</f>
        <v>0</v>
      </c>
      <c r="G392" s="4">
        <f>SUMIFS(payments!$G$2:$G$203,payments!$F$2:$F$203,"succeeded",payments!$B$2:$B$203,A392)</f>
        <v>0</v>
      </c>
      <c r="H392" s="4">
        <f>SUMIF(refunds!$G$2:$G$15,A392,refunds!$D$2:$D$15)</f>
        <v>0</v>
      </c>
      <c r="I392" s="4">
        <f>users[[#This Row],[paid_usd]]-users[[#This Row],[refunded_usd]]</f>
        <v>0</v>
      </c>
      <c r="J392" s="4">
        <f>IF(users[[#This Row],[successful_payments_count]]&gt;0,1,0)</f>
        <v>0</v>
      </c>
    </row>
    <row r="393" spans="1:10">
      <c r="A393">
        <v>392</v>
      </c>
      <c r="B393" s="3">
        <v>46080.3542361111</v>
      </c>
      <c r="C393" t="s">
        <v>17</v>
      </c>
      <c r="D393" t="s">
        <v>22</v>
      </c>
      <c r="F393" s="4">
        <f>COUNTIFS(payments!$B$2:$B$203,A393,payments!$F$2:$F$203,"succeeded")</f>
        <v>2</v>
      </c>
      <c r="G393" s="4">
        <f>SUMIFS(payments!$G$2:$G$203,payments!$F$2:$F$203,"succeeded",payments!$B$2:$B$203,A393)</f>
        <v>24.98</v>
      </c>
      <c r="H393" s="4">
        <f>SUMIF(refunds!$G$2:$G$15,A393,refunds!$D$2:$D$15)</f>
        <v>0</v>
      </c>
      <c r="I393" s="4">
        <f>users[[#This Row],[paid_usd]]-users[[#This Row],[refunded_usd]]</f>
        <v>24.98</v>
      </c>
      <c r="J393" s="4">
        <f>IF(users[[#This Row],[successful_payments_count]]&gt;0,1,0)</f>
        <v>1</v>
      </c>
    </row>
    <row r="394" spans="1:10">
      <c r="A394">
        <v>393</v>
      </c>
      <c r="B394" s="3">
        <v>46157.4371527778</v>
      </c>
      <c r="C394" t="s">
        <v>16</v>
      </c>
      <c r="D394" t="s">
        <v>22</v>
      </c>
      <c r="E394">
        <v>7</v>
      </c>
      <c r="F394" s="4">
        <f>COUNTIFS(payments!$B$2:$B$203,A394,payments!$F$2:$F$203,"succeeded")</f>
        <v>0</v>
      </c>
      <c r="G394" s="4">
        <f>SUMIFS(payments!$G$2:$G$203,payments!$F$2:$F$203,"succeeded",payments!$B$2:$B$203,A394)</f>
        <v>0</v>
      </c>
      <c r="H394" s="4">
        <f>SUMIF(refunds!$G$2:$G$15,A394,refunds!$D$2:$D$15)</f>
        <v>0</v>
      </c>
      <c r="I394" s="4">
        <f>users[[#This Row],[paid_usd]]-users[[#This Row],[refunded_usd]]</f>
        <v>0</v>
      </c>
      <c r="J394" s="4">
        <f>IF(users[[#This Row],[successful_payments_count]]&gt;0,1,0)</f>
        <v>0</v>
      </c>
    </row>
    <row r="395" spans="1:10">
      <c r="A395">
        <v>394</v>
      </c>
      <c r="B395" s="3">
        <v>46072.5917476852</v>
      </c>
      <c r="C395" t="s">
        <v>17</v>
      </c>
      <c r="D395" t="s">
        <v>4</v>
      </c>
      <c r="E395">
        <v>4</v>
      </c>
      <c r="F395" s="4">
        <f>COUNTIFS(payments!$B$2:$B$203,A395,payments!$F$2:$F$203,"succeeded")</f>
        <v>0</v>
      </c>
      <c r="G395" s="4">
        <f>SUMIFS(payments!$G$2:$G$203,payments!$F$2:$F$203,"succeeded",payments!$B$2:$B$203,A395)</f>
        <v>0</v>
      </c>
      <c r="H395" s="4">
        <f>SUMIF(refunds!$G$2:$G$15,A395,refunds!$D$2:$D$15)</f>
        <v>0</v>
      </c>
      <c r="I395" s="4">
        <f>users[[#This Row],[paid_usd]]-users[[#This Row],[refunded_usd]]</f>
        <v>0</v>
      </c>
      <c r="J395" s="4">
        <f>IF(users[[#This Row],[successful_payments_count]]&gt;0,1,0)</f>
        <v>0</v>
      </c>
    </row>
    <row r="396" spans="1:10">
      <c r="A396">
        <v>395</v>
      </c>
      <c r="B396" s="3">
        <v>46182.7760648148</v>
      </c>
      <c r="C396" t="s">
        <v>18</v>
      </c>
      <c r="D396" t="s">
        <v>22</v>
      </c>
      <c r="E396">
        <v>6</v>
      </c>
      <c r="F396" s="4">
        <f>COUNTIFS(payments!$B$2:$B$203,A396,payments!$F$2:$F$203,"succeeded")</f>
        <v>1</v>
      </c>
      <c r="G396" s="4">
        <f>SUMIFS(payments!$G$2:$G$203,payments!$F$2:$F$203,"succeeded",payments!$B$2:$B$203,A396)</f>
        <v>7.99</v>
      </c>
      <c r="H396" s="4">
        <f>SUMIF(refunds!$G$2:$G$15,A396,refunds!$D$2:$D$15)</f>
        <v>0</v>
      </c>
      <c r="I396" s="4">
        <f>users[[#This Row],[paid_usd]]-users[[#This Row],[refunded_usd]]</f>
        <v>7.99</v>
      </c>
      <c r="J396" s="4">
        <f>IF(users[[#This Row],[successful_payments_count]]&gt;0,1,0)</f>
        <v>1</v>
      </c>
    </row>
    <row r="397" spans="1:10">
      <c r="A397">
        <v>396</v>
      </c>
      <c r="B397" s="3">
        <v>46122.4818518519</v>
      </c>
      <c r="C397" t="s">
        <v>19</v>
      </c>
      <c r="D397" t="s">
        <v>23</v>
      </c>
      <c r="E397">
        <v>1</v>
      </c>
      <c r="F397" s="4">
        <f>COUNTIFS(payments!$B$2:$B$203,A397,payments!$F$2:$F$203,"succeeded")</f>
        <v>0</v>
      </c>
      <c r="G397" s="4">
        <f>SUMIFS(payments!$G$2:$G$203,payments!$F$2:$F$203,"succeeded",payments!$B$2:$B$203,A397)</f>
        <v>0</v>
      </c>
      <c r="H397" s="4">
        <f>SUMIF(refunds!$G$2:$G$15,A397,refunds!$D$2:$D$15)</f>
        <v>0</v>
      </c>
      <c r="I397" s="4">
        <f>users[[#This Row],[paid_usd]]-users[[#This Row],[refunded_usd]]</f>
        <v>0</v>
      </c>
      <c r="J397" s="4">
        <f>IF(users[[#This Row],[successful_payments_count]]&gt;0,1,0)</f>
        <v>0</v>
      </c>
    </row>
    <row r="398" spans="1:10">
      <c r="A398">
        <v>397</v>
      </c>
      <c r="B398" s="3">
        <v>46030.5335069444</v>
      </c>
      <c r="C398" t="s">
        <v>19</v>
      </c>
      <c r="D398" t="s">
        <v>22</v>
      </c>
      <c r="F398" s="4">
        <f>COUNTIFS(payments!$B$2:$B$203,A398,payments!$F$2:$F$203,"succeeded")</f>
        <v>2</v>
      </c>
      <c r="G398" s="4">
        <f>SUMIFS(payments!$G$2:$G$203,payments!$F$2:$F$203,"succeeded",payments!$B$2:$B$203,A398)</f>
        <v>24.98</v>
      </c>
      <c r="H398" s="4">
        <f>SUMIF(refunds!$G$2:$G$15,A398,refunds!$D$2:$D$15)</f>
        <v>0</v>
      </c>
      <c r="I398" s="4">
        <f>users[[#This Row],[paid_usd]]-users[[#This Row],[refunded_usd]]</f>
        <v>24.98</v>
      </c>
      <c r="J398" s="4">
        <f>IF(users[[#This Row],[successful_payments_count]]&gt;0,1,0)</f>
        <v>1</v>
      </c>
    </row>
    <row r="399" spans="1:10">
      <c r="A399">
        <v>398</v>
      </c>
      <c r="B399" s="3">
        <v>46130.2213773148</v>
      </c>
      <c r="C399" t="s">
        <v>16</v>
      </c>
      <c r="D399" t="s">
        <v>22</v>
      </c>
      <c r="F399" s="4">
        <f>COUNTIFS(payments!$B$2:$B$203,A399,payments!$F$2:$F$203,"succeeded")</f>
        <v>0</v>
      </c>
      <c r="G399" s="4">
        <f>SUMIFS(payments!$G$2:$G$203,payments!$F$2:$F$203,"succeeded",payments!$B$2:$B$203,A399)</f>
        <v>0</v>
      </c>
      <c r="H399" s="4">
        <f>SUMIF(refunds!$G$2:$G$15,A399,refunds!$D$2:$D$15)</f>
        <v>0</v>
      </c>
      <c r="I399" s="4">
        <f>users[[#This Row],[paid_usd]]-users[[#This Row],[refunded_usd]]</f>
        <v>0</v>
      </c>
      <c r="J399" s="4">
        <f>IF(users[[#This Row],[successful_payments_count]]&gt;0,1,0)</f>
        <v>0</v>
      </c>
    </row>
    <row r="400" spans="1:10">
      <c r="A400">
        <v>399</v>
      </c>
      <c r="B400" s="3">
        <v>46156.0580902778</v>
      </c>
      <c r="C400" t="s">
        <v>17</v>
      </c>
      <c r="D400" t="s">
        <v>4</v>
      </c>
      <c r="E400">
        <v>7</v>
      </c>
      <c r="F400" s="4">
        <f>COUNTIFS(payments!$B$2:$B$203,A400,payments!$F$2:$F$203,"succeeded")</f>
        <v>0</v>
      </c>
      <c r="G400" s="4">
        <f>SUMIFS(payments!$G$2:$G$203,payments!$F$2:$F$203,"succeeded",payments!$B$2:$B$203,A400)</f>
        <v>0</v>
      </c>
      <c r="H400" s="4">
        <f>SUMIF(refunds!$G$2:$G$15,A400,refunds!$D$2:$D$15)</f>
        <v>0</v>
      </c>
      <c r="I400" s="4">
        <f>users[[#This Row],[paid_usd]]-users[[#This Row],[refunded_usd]]</f>
        <v>0</v>
      </c>
      <c r="J400" s="4">
        <f>IF(users[[#This Row],[successful_payments_count]]&gt;0,1,0)</f>
        <v>0</v>
      </c>
    </row>
    <row r="401" spans="1:10">
      <c r="A401">
        <v>400</v>
      </c>
      <c r="B401" s="3">
        <v>46032.1581597222</v>
      </c>
      <c r="C401" t="s">
        <v>15</v>
      </c>
      <c r="D401" t="s">
        <v>22</v>
      </c>
      <c r="E401">
        <v>3</v>
      </c>
      <c r="F401" s="4">
        <f>COUNTIFS(payments!$B$2:$B$203,A401,payments!$F$2:$F$203,"succeeded")</f>
        <v>0</v>
      </c>
      <c r="G401" s="4">
        <f>SUMIFS(payments!$G$2:$G$203,payments!$F$2:$F$203,"succeeded",payments!$B$2:$B$203,A401)</f>
        <v>0</v>
      </c>
      <c r="H401" s="4">
        <f>SUMIF(refunds!$G$2:$G$15,A401,refunds!$D$2:$D$15)</f>
        <v>0</v>
      </c>
      <c r="I401" s="4">
        <f>users[[#This Row],[paid_usd]]-users[[#This Row],[refunded_usd]]</f>
        <v>0</v>
      </c>
      <c r="J401" s="4">
        <f>IF(users[[#This Row],[successful_payments_count]]&gt;0,1,0)</f>
        <v>0</v>
      </c>
    </row>
    <row r="402" spans="1:10">
      <c r="A402">
        <v>401</v>
      </c>
      <c r="B402" s="3">
        <v>46117.012662037</v>
      </c>
      <c r="C402" t="s">
        <v>17</v>
      </c>
      <c r="D402" t="s">
        <v>4</v>
      </c>
      <c r="E402">
        <v>6</v>
      </c>
      <c r="F402" s="4">
        <f>COUNTIFS(payments!$B$2:$B$203,A402,payments!$F$2:$F$203,"succeeded")</f>
        <v>1</v>
      </c>
      <c r="G402" s="4">
        <f>SUMIFS(payments!$G$2:$G$203,payments!$F$2:$F$203,"succeeded",payments!$B$2:$B$203,A402)</f>
        <v>4.99</v>
      </c>
      <c r="H402" s="4">
        <f>SUMIF(refunds!$G$2:$G$15,A402,refunds!$D$2:$D$15)</f>
        <v>0</v>
      </c>
      <c r="I402" s="4">
        <f>users[[#This Row],[paid_usd]]-users[[#This Row],[refunded_usd]]</f>
        <v>4.99</v>
      </c>
      <c r="J402" s="4">
        <f>IF(users[[#This Row],[successful_payments_count]]&gt;0,1,0)</f>
        <v>1</v>
      </c>
    </row>
    <row r="403" spans="1:10">
      <c r="A403">
        <v>402</v>
      </c>
      <c r="B403" s="3">
        <v>46042.5419097222</v>
      </c>
      <c r="C403" t="s">
        <v>14</v>
      </c>
      <c r="D403" t="s">
        <v>4</v>
      </c>
      <c r="E403">
        <v>2</v>
      </c>
      <c r="F403" s="4">
        <f>COUNTIFS(payments!$B$2:$B$203,A403,payments!$F$2:$F$203,"succeeded")</f>
        <v>0</v>
      </c>
      <c r="G403" s="4">
        <f>SUMIFS(payments!$G$2:$G$203,payments!$F$2:$F$203,"succeeded",payments!$B$2:$B$203,A403)</f>
        <v>0</v>
      </c>
      <c r="H403" s="4">
        <f>SUMIF(refunds!$G$2:$G$15,A403,refunds!$D$2:$D$15)</f>
        <v>0</v>
      </c>
      <c r="I403" s="4">
        <f>users[[#This Row],[paid_usd]]-users[[#This Row],[refunded_usd]]</f>
        <v>0</v>
      </c>
      <c r="J403" s="4">
        <f>IF(users[[#This Row],[successful_payments_count]]&gt;0,1,0)</f>
        <v>0</v>
      </c>
    </row>
    <row r="404" spans="1:10">
      <c r="A404">
        <v>403</v>
      </c>
      <c r="B404" s="3">
        <v>46079.1025925926</v>
      </c>
      <c r="C404" t="s">
        <v>16</v>
      </c>
      <c r="D404" t="s">
        <v>22</v>
      </c>
      <c r="E404">
        <v>2</v>
      </c>
      <c r="F404" s="4">
        <f>COUNTIFS(payments!$B$2:$B$203,A404,payments!$F$2:$F$203,"succeeded")</f>
        <v>0</v>
      </c>
      <c r="G404" s="4">
        <f>SUMIFS(payments!$G$2:$G$203,payments!$F$2:$F$203,"succeeded",payments!$B$2:$B$203,A404)</f>
        <v>0</v>
      </c>
      <c r="H404" s="4">
        <f>SUMIF(refunds!$G$2:$G$15,A404,refunds!$D$2:$D$15)</f>
        <v>0</v>
      </c>
      <c r="I404" s="4">
        <f>users[[#This Row],[paid_usd]]-users[[#This Row],[refunded_usd]]</f>
        <v>0</v>
      </c>
      <c r="J404" s="4">
        <f>IF(users[[#This Row],[successful_payments_count]]&gt;0,1,0)</f>
        <v>0</v>
      </c>
    </row>
    <row r="405" spans="1:10">
      <c r="A405">
        <v>404</v>
      </c>
      <c r="B405" s="3">
        <v>46188.3103935185</v>
      </c>
      <c r="C405" t="s">
        <v>17</v>
      </c>
      <c r="D405" t="s">
        <v>22</v>
      </c>
      <c r="E405">
        <v>1</v>
      </c>
      <c r="F405" s="4">
        <f>COUNTIFS(payments!$B$2:$B$203,A405,payments!$F$2:$F$203,"succeeded")</f>
        <v>1</v>
      </c>
      <c r="G405" s="4">
        <f>SUMIFS(payments!$G$2:$G$203,payments!$F$2:$F$203,"succeeded",payments!$B$2:$B$203,A405)</f>
        <v>4.99</v>
      </c>
      <c r="H405" s="4">
        <f>SUMIF(refunds!$G$2:$G$15,A405,refunds!$D$2:$D$15)</f>
        <v>0</v>
      </c>
      <c r="I405" s="4">
        <f>users[[#This Row],[paid_usd]]-users[[#This Row],[refunded_usd]]</f>
        <v>4.99</v>
      </c>
      <c r="J405" s="4">
        <f>IF(users[[#This Row],[successful_payments_count]]&gt;0,1,0)</f>
        <v>1</v>
      </c>
    </row>
    <row r="406" spans="1:10">
      <c r="A406">
        <v>405</v>
      </c>
      <c r="B406" s="3">
        <v>46116.5175347222</v>
      </c>
      <c r="C406" t="s">
        <v>17</v>
      </c>
      <c r="D406" t="s">
        <v>4</v>
      </c>
      <c r="F406" s="4">
        <f>COUNTIFS(payments!$B$2:$B$203,A406,payments!$F$2:$F$203,"succeeded")</f>
        <v>0</v>
      </c>
      <c r="G406" s="4">
        <f>SUMIFS(payments!$G$2:$G$203,payments!$F$2:$F$203,"succeeded",payments!$B$2:$B$203,A406)</f>
        <v>0</v>
      </c>
      <c r="H406" s="4">
        <f>SUMIF(refunds!$G$2:$G$15,A406,refunds!$D$2:$D$15)</f>
        <v>0</v>
      </c>
      <c r="I406" s="4">
        <f>users[[#This Row],[paid_usd]]-users[[#This Row],[refunded_usd]]</f>
        <v>0</v>
      </c>
      <c r="J406" s="4">
        <f>IF(users[[#This Row],[successful_payments_count]]&gt;0,1,0)</f>
        <v>0</v>
      </c>
    </row>
    <row r="407" spans="1:10">
      <c r="A407">
        <v>406</v>
      </c>
      <c r="B407" s="3">
        <v>46162.1895833333</v>
      </c>
      <c r="C407" t="s">
        <v>15</v>
      </c>
      <c r="D407" t="s">
        <v>22</v>
      </c>
      <c r="E407">
        <v>7</v>
      </c>
      <c r="F407" s="4">
        <f>COUNTIFS(payments!$B$2:$B$203,A407,payments!$F$2:$F$203,"succeeded")</f>
        <v>0</v>
      </c>
      <c r="G407" s="4">
        <f>SUMIFS(payments!$G$2:$G$203,payments!$F$2:$F$203,"succeeded",payments!$B$2:$B$203,A407)</f>
        <v>0</v>
      </c>
      <c r="H407" s="4">
        <f>SUMIF(refunds!$G$2:$G$15,A407,refunds!$D$2:$D$15)</f>
        <v>0</v>
      </c>
      <c r="I407" s="4">
        <f>users[[#This Row],[paid_usd]]-users[[#This Row],[refunded_usd]]</f>
        <v>0</v>
      </c>
      <c r="J407" s="4">
        <f>IF(users[[#This Row],[successful_payments_count]]&gt;0,1,0)</f>
        <v>0</v>
      </c>
    </row>
    <row r="408" spans="1:10">
      <c r="A408">
        <v>407</v>
      </c>
      <c r="B408" s="3">
        <v>46143.5635763889</v>
      </c>
      <c r="C408" t="s">
        <v>17</v>
      </c>
      <c r="D408" t="s">
        <v>4</v>
      </c>
      <c r="E408">
        <v>7</v>
      </c>
      <c r="F408" s="4">
        <f>COUNTIFS(payments!$B$2:$B$203,A408,payments!$F$2:$F$203,"succeeded")</f>
        <v>1</v>
      </c>
      <c r="G408" s="4">
        <f>SUMIFS(payments!$G$2:$G$203,payments!$F$2:$F$203,"succeeded",payments!$B$2:$B$203,A408)</f>
        <v>15.99</v>
      </c>
      <c r="H408" s="4">
        <f>SUMIF(refunds!$G$2:$G$15,A408,refunds!$D$2:$D$15)</f>
        <v>0</v>
      </c>
      <c r="I408" s="4">
        <f>users[[#This Row],[paid_usd]]-users[[#This Row],[refunded_usd]]</f>
        <v>15.99</v>
      </c>
      <c r="J408" s="4">
        <f>IF(users[[#This Row],[successful_payments_count]]&gt;0,1,0)</f>
        <v>1</v>
      </c>
    </row>
    <row r="409" spans="1:10">
      <c r="A409">
        <v>408</v>
      </c>
      <c r="B409" s="3">
        <v>46089.021412037</v>
      </c>
      <c r="C409" t="s">
        <v>17</v>
      </c>
      <c r="D409" t="s">
        <v>22</v>
      </c>
      <c r="F409" s="4">
        <f>COUNTIFS(payments!$B$2:$B$203,A409,payments!$F$2:$F$203,"succeeded")</f>
        <v>1</v>
      </c>
      <c r="G409" s="4">
        <f>SUMIFS(payments!$G$2:$G$203,payments!$F$2:$F$203,"succeeded",payments!$B$2:$B$203,A409)</f>
        <v>19.99</v>
      </c>
      <c r="H409" s="4">
        <f>SUMIF(refunds!$G$2:$G$15,A409,refunds!$D$2:$D$15)</f>
        <v>0</v>
      </c>
      <c r="I409" s="4">
        <f>users[[#This Row],[paid_usd]]-users[[#This Row],[refunded_usd]]</f>
        <v>19.99</v>
      </c>
      <c r="J409" s="4">
        <f>IF(users[[#This Row],[successful_payments_count]]&gt;0,1,0)</f>
        <v>1</v>
      </c>
    </row>
    <row r="410" spans="1:10">
      <c r="A410">
        <v>409</v>
      </c>
      <c r="B410" s="3">
        <v>46174.1753587963</v>
      </c>
      <c r="C410" t="s">
        <v>14</v>
      </c>
      <c r="D410" t="s">
        <v>23</v>
      </c>
      <c r="E410">
        <v>5</v>
      </c>
      <c r="F410" s="4">
        <f>COUNTIFS(payments!$B$2:$B$203,A410,payments!$F$2:$F$203,"succeeded")</f>
        <v>0</v>
      </c>
      <c r="G410" s="4">
        <f>SUMIFS(payments!$G$2:$G$203,payments!$F$2:$F$203,"succeeded",payments!$B$2:$B$203,A410)</f>
        <v>0</v>
      </c>
      <c r="H410" s="4">
        <f>SUMIF(refunds!$G$2:$G$15,A410,refunds!$D$2:$D$15)</f>
        <v>0</v>
      </c>
      <c r="I410" s="4">
        <f>users[[#This Row],[paid_usd]]-users[[#This Row],[refunded_usd]]</f>
        <v>0</v>
      </c>
      <c r="J410" s="4">
        <f>IF(users[[#This Row],[successful_payments_count]]&gt;0,1,0)</f>
        <v>0</v>
      </c>
    </row>
    <row r="411" spans="1:10">
      <c r="A411">
        <v>410</v>
      </c>
      <c r="B411" s="3">
        <v>46048.8246990741</v>
      </c>
      <c r="C411" t="s">
        <v>15</v>
      </c>
      <c r="D411" t="s">
        <v>4</v>
      </c>
      <c r="E411">
        <v>5</v>
      </c>
      <c r="F411" s="4">
        <f>COUNTIFS(payments!$B$2:$B$203,A411,payments!$F$2:$F$203,"succeeded")</f>
        <v>0</v>
      </c>
      <c r="G411" s="4">
        <f>SUMIFS(payments!$G$2:$G$203,payments!$F$2:$F$203,"succeeded",payments!$B$2:$B$203,A411)</f>
        <v>0</v>
      </c>
      <c r="H411" s="4">
        <f>SUMIF(refunds!$G$2:$G$15,A411,refunds!$D$2:$D$15)</f>
        <v>0</v>
      </c>
      <c r="I411" s="4">
        <f>users[[#This Row],[paid_usd]]-users[[#This Row],[refunded_usd]]</f>
        <v>0</v>
      </c>
      <c r="J411" s="4">
        <f>IF(users[[#This Row],[successful_payments_count]]&gt;0,1,0)</f>
        <v>0</v>
      </c>
    </row>
    <row r="412" spans="1:10">
      <c r="A412">
        <v>411</v>
      </c>
      <c r="B412" s="3">
        <v>46180.3419907407</v>
      </c>
      <c r="C412" t="s">
        <v>18</v>
      </c>
      <c r="D412" t="s">
        <v>22</v>
      </c>
      <c r="E412">
        <v>4</v>
      </c>
      <c r="F412" s="4">
        <f>COUNTIFS(payments!$B$2:$B$203,A412,payments!$F$2:$F$203,"succeeded")</f>
        <v>0</v>
      </c>
      <c r="G412" s="4">
        <f>SUMIFS(payments!$G$2:$G$203,payments!$F$2:$F$203,"succeeded",payments!$B$2:$B$203,A412)</f>
        <v>0</v>
      </c>
      <c r="H412" s="4">
        <f>SUMIF(refunds!$G$2:$G$15,A412,refunds!$D$2:$D$15)</f>
        <v>0</v>
      </c>
      <c r="I412" s="4">
        <f>users[[#This Row],[paid_usd]]-users[[#This Row],[refunded_usd]]</f>
        <v>0</v>
      </c>
      <c r="J412" s="4">
        <f>IF(users[[#This Row],[successful_payments_count]]&gt;0,1,0)</f>
        <v>0</v>
      </c>
    </row>
    <row r="413" spans="1:10">
      <c r="A413">
        <v>412</v>
      </c>
      <c r="B413" s="3">
        <v>46050.3335763889</v>
      </c>
      <c r="C413" t="s">
        <v>16</v>
      </c>
      <c r="D413" t="s">
        <v>23</v>
      </c>
      <c r="E413">
        <v>2</v>
      </c>
      <c r="F413" s="4">
        <f>COUNTIFS(payments!$B$2:$B$203,A413,payments!$F$2:$F$203,"succeeded")</f>
        <v>0</v>
      </c>
      <c r="G413" s="4">
        <f>SUMIFS(payments!$G$2:$G$203,payments!$F$2:$F$203,"succeeded",payments!$B$2:$B$203,A413)</f>
        <v>0</v>
      </c>
      <c r="H413" s="4">
        <f>SUMIF(refunds!$G$2:$G$15,A413,refunds!$D$2:$D$15)</f>
        <v>0</v>
      </c>
      <c r="I413" s="4">
        <f>users[[#This Row],[paid_usd]]-users[[#This Row],[refunded_usd]]</f>
        <v>0</v>
      </c>
      <c r="J413" s="4">
        <f>IF(users[[#This Row],[successful_payments_count]]&gt;0,1,0)</f>
        <v>0</v>
      </c>
    </row>
    <row r="414" spans="1:10">
      <c r="A414">
        <v>413</v>
      </c>
      <c r="B414" s="3">
        <v>46052.1061111111</v>
      </c>
      <c r="C414" t="s">
        <v>14</v>
      </c>
      <c r="D414" t="s">
        <v>4</v>
      </c>
      <c r="E414">
        <v>2</v>
      </c>
      <c r="F414" s="4">
        <f>COUNTIFS(payments!$B$2:$B$203,A414,payments!$F$2:$F$203,"succeeded")</f>
        <v>0</v>
      </c>
      <c r="G414" s="4">
        <f>SUMIFS(payments!$G$2:$G$203,payments!$F$2:$F$203,"succeeded",payments!$B$2:$B$203,A414)</f>
        <v>0</v>
      </c>
      <c r="H414" s="4">
        <f>SUMIF(refunds!$G$2:$G$15,A414,refunds!$D$2:$D$15)</f>
        <v>0</v>
      </c>
      <c r="I414" s="4">
        <f>users[[#This Row],[paid_usd]]-users[[#This Row],[refunded_usd]]</f>
        <v>0</v>
      </c>
      <c r="J414" s="4">
        <f>IF(users[[#This Row],[successful_payments_count]]&gt;0,1,0)</f>
        <v>0</v>
      </c>
    </row>
    <row r="415" spans="1:10">
      <c r="A415">
        <v>414</v>
      </c>
      <c r="B415" s="3">
        <v>46055.5122337963</v>
      </c>
      <c r="C415" t="s">
        <v>16</v>
      </c>
      <c r="D415" t="s">
        <v>4</v>
      </c>
      <c r="E415">
        <v>3</v>
      </c>
      <c r="F415" s="4">
        <f>COUNTIFS(payments!$B$2:$B$203,A415,payments!$F$2:$F$203,"succeeded")</f>
        <v>1</v>
      </c>
      <c r="G415" s="4">
        <f>SUMIFS(payments!$G$2:$G$203,payments!$F$2:$F$203,"succeeded",payments!$B$2:$B$203,A415)</f>
        <v>9.99</v>
      </c>
      <c r="H415" s="4">
        <f>SUMIF(refunds!$G$2:$G$15,A415,refunds!$D$2:$D$15)</f>
        <v>0</v>
      </c>
      <c r="I415" s="4">
        <f>users[[#This Row],[paid_usd]]-users[[#This Row],[refunded_usd]]</f>
        <v>9.99</v>
      </c>
      <c r="J415" s="4">
        <f>IF(users[[#This Row],[successful_payments_count]]&gt;0,1,0)</f>
        <v>1</v>
      </c>
    </row>
    <row r="416" spans="1:10">
      <c r="A416">
        <v>415</v>
      </c>
      <c r="B416" s="3">
        <v>46052.2448611111</v>
      </c>
      <c r="C416" t="s">
        <v>15</v>
      </c>
      <c r="D416" t="s">
        <v>4</v>
      </c>
      <c r="E416">
        <v>4</v>
      </c>
      <c r="F416" s="4">
        <f>COUNTIFS(payments!$B$2:$B$203,A416,payments!$F$2:$F$203,"succeeded")</f>
        <v>1</v>
      </c>
      <c r="G416" s="4">
        <f>SUMIFS(payments!$G$2:$G$203,payments!$F$2:$F$203,"succeeded",payments!$B$2:$B$203,A416)</f>
        <v>15.99</v>
      </c>
      <c r="H416" s="4">
        <f>SUMIF(refunds!$G$2:$G$15,A416,refunds!$D$2:$D$15)</f>
        <v>0</v>
      </c>
      <c r="I416" s="4">
        <f>users[[#This Row],[paid_usd]]-users[[#This Row],[refunded_usd]]</f>
        <v>15.99</v>
      </c>
      <c r="J416" s="4">
        <f>IF(users[[#This Row],[successful_payments_count]]&gt;0,1,0)</f>
        <v>1</v>
      </c>
    </row>
    <row r="417" spans="1:10">
      <c r="A417">
        <v>416</v>
      </c>
      <c r="B417" s="3">
        <v>46156.6235532407</v>
      </c>
      <c r="C417" t="s">
        <v>17</v>
      </c>
      <c r="D417" t="s">
        <v>4</v>
      </c>
      <c r="E417">
        <v>4</v>
      </c>
      <c r="F417" s="4">
        <f>COUNTIFS(payments!$B$2:$B$203,A417,payments!$F$2:$F$203,"succeeded")</f>
        <v>0</v>
      </c>
      <c r="G417" s="4">
        <f>SUMIFS(payments!$G$2:$G$203,payments!$F$2:$F$203,"succeeded",payments!$B$2:$B$203,A417)</f>
        <v>0</v>
      </c>
      <c r="H417" s="4">
        <f>SUMIF(refunds!$G$2:$G$15,A417,refunds!$D$2:$D$15)</f>
        <v>0</v>
      </c>
      <c r="I417" s="4">
        <f>users[[#This Row],[paid_usd]]-users[[#This Row],[refunded_usd]]</f>
        <v>0</v>
      </c>
      <c r="J417" s="4">
        <f>IF(users[[#This Row],[successful_payments_count]]&gt;0,1,0)</f>
        <v>0</v>
      </c>
    </row>
    <row r="418" spans="1:10">
      <c r="A418">
        <v>417</v>
      </c>
      <c r="B418" s="3">
        <v>46113.906412037</v>
      </c>
      <c r="C418" t="s">
        <v>17</v>
      </c>
      <c r="D418" t="s">
        <v>23</v>
      </c>
      <c r="E418">
        <v>3</v>
      </c>
      <c r="F418" s="4">
        <f>COUNTIFS(payments!$B$2:$B$203,A418,payments!$F$2:$F$203,"succeeded")</f>
        <v>0</v>
      </c>
      <c r="G418" s="4">
        <f>SUMIFS(payments!$G$2:$G$203,payments!$F$2:$F$203,"succeeded",payments!$B$2:$B$203,A418)</f>
        <v>0</v>
      </c>
      <c r="H418" s="4">
        <f>SUMIF(refunds!$G$2:$G$15,A418,refunds!$D$2:$D$15)</f>
        <v>0</v>
      </c>
      <c r="I418" s="4">
        <f>users[[#This Row],[paid_usd]]-users[[#This Row],[refunded_usd]]</f>
        <v>0</v>
      </c>
      <c r="J418" s="4">
        <f>IF(users[[#This Row],[successful_payments_count]]&gt;0,1,0)</f>
        <v>0</v>
      </c>
    </row>
    <row r="419" spans="1:10">
      <c r="A419">
        <v>418</v>
      </c>
      <c r="B419" s="3">
        <v>46057.249212963</v>
      </c>
      <c r="C419" t="s">
        <v>14</v>
      </c>
      <c r="D419" t="s">
        <v>23</v>
      </c>
      <c r="E419">
        <v>4</v>
      </c>
      <c r="F419" s="4">
        <f>COUNTIFS(payments!$B$2:$B$203,A419,payments!$F$2:$F$203,"succeeded")</f>
        <v>0</v>
      </c>
      <c r="G419" s="4">
        <f>SUMIFS(payments!$G$2:$G$203,payments!$F$2:$F$203,"succeeded",payments!$B$2:$B$203,A419)</f>
        <v>0</v>
      </c>
      <c r="H419" s="4">
        <f>SUMIF(refunds!$G$2:$G$15,A419,refunds!$D$2:$D$15)</f>
        <v>0</v>
      </c>
      <c r="I419" s="4">
        <f>users[[#This Row],[paid_usd]]-users[[#This Row],[refunded_usd]]</f>
        <v>0</v>
      </c>
      <c r="J419" s="4">
        <f>IF(users[[#This Row],[successful_payments_count]]&gt;0,1,0)</f>
        <v>0</v>
      </c>
    </row>
    <row r="420" spans="1:10">
      <c r="A420">
        <v>419</v>
      </c>
      <c r="B420" s="3">
        <v>46070.1702430556</v>
      </c>
      <c r="C420" t="s">
        <v>15</v>
      </c>
      <c r="D420" t="s">
        <v>23</v>
      </c>
      <c r="E420">
        <v>2</v>
      </c>
      <c r="F420" s="4">
        <f>COUNTIFS(payments!$B$2:$B$203,A420,payments!$F$2:$F$203,"succeeded")</f>
        <v>0</v>
      </c>
      <c r="G420" s="4">
        <f>SUMIFS(payments!$G$2:$G$203,payments!$F$2:$F$203,"succeeded",payments!$B$2:$B$203,A420)</f>
        <v>0</v>
      </c>
      <c r="H420" s="4">
        <f>SUMIF(refunds!$G$2:$G$15,A420,refunds!$D$2:$D$15)</f>
        <v>0</v>
      </c>
      <c r="I420" s="4">
        <f>users[[#This Row],[paid_usd]]-users[[#This Row],[refunded_usd]]</f>
        <v>0</v>
      </c>
      <c r="J420" s="4">
        <f>IF(users[[#This Row],[successful_payments_count]]&gt;0,1,0)</f>
        <v>0</v>
      </c>
    </row>
    <row r="421" spans="1:10">
      <c r="A421">
        <v>420</v>
      </c>
      <c r="B421" s="3">
        <v>46113.307662037</v>
      </c>
      <c r="C421" t="s">
        <v>14</v>
      </c>
      <c r="D421" t="s">
        <v>22</v>
      </c>
      <c r="F421" s="4">
        <f>COUNTIFS(payments!$B$2:$B$203,A421,payments!$F$2:$F$203,"succeeded")</f>
        <v>0</v>
      </c>
      <c r="G421" s="4">
        <f>SUMIFS(payments!$G$2:$G$203,payments!$F$2:$F$203,"succeeded",payments!$B$2:$B$203,A421)</f>
        <v>0</v>
      </c>
      <c r="H421" s="4">
        <f>SUMIF(refunds!$G$2:$G$15,A421,refunds!$D$2:$D$15)</f>
        <v>0</v>
      </c>
      <c r="I421" s="4">
        <f>users[[#This Row],[paid_usd]]-users[[#This Row],[refunded_usd]]</f>
        <v>0</v>
      </c>
      <c r="J421" s="4">
        <f>IF(users[[#This Row],[successful_payments_count]]&gt;0,1,0)</f>
        <v>0</v>
      </c>
    </row>
    <row r="422" spans="1:10">
      <c r="A422">
        <v>421</v>
      </c>
      <c r="B422" s="3">
        <v>46024.2887152778</v>
      </c>
      <c r="C422" t="s">
        <v>15</v>
      </c>
      <c r="D422" t="s">
        <v>22</v>
      </c>
      <c r="E422">
        <v>7</v>
      </c>
      <c r="F422" s="4">
        <f>COUNTIFS(payments!$B$2:$B$203,A422,payments!$F$2:$F$203,"succeeded")</f>
        <v>0</v>
      </c>
      <c r="G422" s="4">
        <f>SUMIFS(payments!$G$2:$G$203,payments!$F$2:$F$203,"succeeded",payments!$B$2:$B$203,A422)</f>
        <v>0</v>
      </c>
      <c r="H422" s="4">
        <f>SUMIF(refunds!$G$2:$G$15,A422,refunds!$D$2:$D$15)</f>
        <v>0</v>
      </c>
      <c r="I422" s="4">
        <f>users[[#This Row],[paid_usd]]-users[[#This Row],[refunded_usd]]</f>
        <v>0</v>
      </c>
      <c r="J422" s="4">
        <f>IF(users[[#This Row],[successful_payments_count]]&gt;0,1,0)</f>
        <v>0</v>
      </c>
    </row>
    <row r="423" spans="1:10">
      <c r="A423">
        <v>422</v>
      </c>
      <c r="B423" s="3">
        <v>46087.6564930556</v>
      </c>
      <c r="C423" t="s">
        <v>17</v>
      </c>
      <c r="D423" t="s">
        <v>22</v>
      </c>
      <c r="E423">
        <v>5</v>
      </c>
      <c r="F423" s="4">
        <f>COUNTIFS(payments!$B$2:$B$203,A423,payments!$F$2:$F$203,"succeeded")</f>
        <v>0</v>
      </c>
      <c r="G423" s="4">
        <f>SUMIFS(payments!$G$2:$G$203,payments!$F$2:$F$203,"succeeded",payments!$B$2:$B$203,A423)</f>
        <v>0</v>
      </c>
      <c r="H423" s="4">
        <f>SUMIF(refunds!$G$2:$G$15,A423,refunds!$D$2:$D$15)</f>
        <v>0</v>
      </c>
      <c r="I423" s="4">
        <f>users[[#This Row],[paid_usd]]-users[[#This Row],[refunded_usd]]</f>
        <v>0</v>
      </c>
      <c r="J423" s="4">
        <f>IF(users[[#This Row],[successful_payments_count]]&gt;0,1,0)</f>
        <v>0</v>
      </c>
    </row>
    <row r="424" spans="1:10">
      <c r="A424">
        <v>423</v>
      </c>
      <c r="B424" s="3">
        <v>46055.9329976852</v>
      </c>
      <c r="C424" t="s">
        <v>18</v>
      </c>
      <c r="D424" t="s">
        <v>22</v>
      </c>
      <c r="E424">
        <v>3</v>
      </c>
      <c r="F424" s="4">
        <f>COUNTIFS(payments!$B$2:$B$203,A424,payments!$F$2:$F$203,"succeeded")</f>
        <v>1</v>
      </c>
      <c r="G424" s="4">
        <f>SUMIFS(payments!$G$2:$G$203,payments!$F$2:$F$203,"succeeded",payments!$B$2:$B$203,A424)</f>
        <v>19.99</v>
      </c>
      <c r="H424" s="4">
        <f>SUMIF(refunds!$G$2:$G$15,A424,refunds!$D$2:$D$15)</f>
        <v>0</v>
      </c>
      <c r="I424" s="4">
        <f>users[[#This Row],[paid_usd]]-users[[#This Row],[refunded_usd]]</f>
        <v>19.99</v>
      </c>
      <c r="J424" s="4">
        <f>IF(users[[#This Row],[successful_payments_count]]&gt;0,1,0)</f>
        <v>1</v>
      </c>
    </row>
    <row r="425" spans="1:10">
      <c r="A425">
        <v>424</v>
      </c>
      <c r="B425" s="3">
        <v>46107.6998842593</v>
      </c>
      <c r="C425" t="s">
        <v>14</v>
      </c>
      <c r="D425" t="s">
        <v>22</v>
      </c>
      <c r="E425">
        <v>4</v>
      </c>
      <c r="F425" s="4">
        <f>COUNTIFS(payments!$B$2:$B$203,A425,payments!$F$2:$F$203,"succeeded")</f>
        <v>0</v>
      </c>
      <c r="G425" s="4">
        <f>SUMIFS(payments!$G$2:$G$203,payments!$F$2:$F$203,"succeeded",payments!$B$2:$B$203,A425)</f>
        <v>0</v>
      </c>
      <c r="H425" s="4">
        <f>SUMIF(refunds!$G$2:$G$15,A425,refunds!$D$2:$D$15)</f>
        <v>0</v>
      </c>
      <c r="I425" s="4">
        <f>users[[#This Row],[paid_usd]]-users[[#This Row],[refunded_usd]]</f>
        <v>0</v>
      </c>
      <c r="J425" s="4">
        <f>IF(users[[#This Row],[successful_payments_count]]&gt;0,1,0)</f>
        <v>0</v>
      </c>
    </row>
    <row r="426" spans="1:10">
      <c r="A426">
        <v>425</v>
      </c>
      <c r="B426" s="3">
        <v>46036.5137962963</v>
      </c>
      <c r="C426" t="s">
        <v>18</v>
      </c>
      <c r="D426" t="s">
        <v>22</v>
      </c>
      <c r="E426">
        <v>6</v>
      </c>
      <c r="F426" s="4">
        <f>COUNTIFS(payments!$B$2:$B$203,A426,payments!$F$2:$F$203,"succeeded")</f>
        <v>0</v>
      </c>
      <c r="G426" s="4">
        <f>SUMIFS(payments!$G$2:$G$203,payments!$F$2:$F$203,"succeeded",payments!$B$2:$B$203,A426)</f>
        <v>0</v>
      </c>
      <c r="H426" s="4">
        <f>SUMIF(refunds!$G$2:$G$15,A426,refunds!$D$2:$D$15)</f>
        <v>0</v>
      </c>
      <c r="I426" s="4">
        <f>users[[#This Row],[paid_usd]]-users[[#This Row],[refunded_usd]]</f>
        <v>0</v>
      </c>
      <c r="J426" s="4">
        <f>IF(users[[#This Row],[successful_payments_count]]&gt;0,1,0)</f>
        <v>0</v>
      </c>
    </row>
    <row r="427" spans="1:10">
      <c r="A427">
        <v>426</v>
      </c>
      <c r="B427" s="3">
        <v>46108.687974537</v>
      </c>
      <c r="C427" t="s">
        <v>15</v>
      </c>
      <c r="D427" t="s">
        <v>22</v>
      </c>
      <c r="F427" s="4">
        <f>COUNTIFS(payments!$B$2:$B$203,A427,payments!$F$2:$F$203,"succeeded")</f>
        <v>0</v>
      </c>
      <c r="G427" s="4">
        <f>SUMIFS(payments!$G$2:$G$203,payments!$F$2:$F$203,"succeeded",payments!$B$2:$B$203,A427)</f>
        <v>0</v>
      </c>
      <c r="H427" s="4">
        <f>SUMIF(refunds!$G$2:$G$15,A427,refunds!$D$2:$D$15)</f>
        <v>0</v>
      </c>
      <c r="I427" s="4">
        <f>users[[#This Row],[paid_usd]]-users[[#This Row],[refunded_usd]]</f>
        <v>0</v>
      </c>
      <c r="J427" s="4">
        <f>IF(users[[#This Row],[successful_payments_count]]&gt;0,1,0)</f>
        <v>0</v>
      </c>
    </row>
    <row r="428" spans="1:10">
      <c r="A428">
        <v>427</v>
      </c>
      <c r="B428" s="3">
        <v>46167.4900578704</v>
      </c>
      <c r="C428" t="s">
        <v>14</v>
      </c>
      <c r="D428" t="s">
        <v>22</v>
      </c>
      <c r="E428">
        <v>3</v>
      </c>
      <c r="F428" s="4">
        <f>COUNTIFS(payments!$B$2:$B$203,A428,payments!$F$2:$F$203,"succeeded")</f>
        <v>1</v>
      </c>
      <c r="G428" s="4">
        <f>SUMIFS(payments!$G$2:$G$203,payments!$F$2:$F$203,"succeeded",payments!$B$2:$B$203,A428)</f>
        <v>19.99</v>
      </c>
      <c r="H428" s="4">
        <f>SUMIF(refunds!$G$2:$G$15,A428,refunds!$D$2:$D$15)</f>
        <v>0</v>
      </c>
      <c r="I428" s="4">
        <f>users[[#This Row],[paid_usd]]-users[[#This Row],[refunded_usd]]</f>
        <v>19.99</v>
      </c>
      <c r="J428" s="4">
        <f>IF(users[[#This Row],[successful_payments_count]]&gt;0,1,0)</f>
        <v>1</v>
      </c>
    </row>
    <row r="429" spans="1:10">
      <c r="A429">
        <v>428</v>
      </c>
      <c r="B429" s="3">
        <v>46026.8329513889</v>
      </c>
      <c r="C429" t="s">
        <v>19</v>
      </c>
      <c r="D429" t="s">
        <v>22</v>
      </c>
      <c r="E429">
        <v>4</v>
      </c>
      <c r="F429" s="4">
        <f>COUNTIFS(payments!$B$2:$B$203,A429,payments!$F$2:$F$203,"succeeded")</f>
        <v>0</v>
      </c>
      <c r="G429" s="4">
        <f>SUMIFS(payments!$G$2:$G$203,payments!$F$2:$F$203,"succeeded",payments!$B$2:$B$203,A429)</f>
        <v>0</v>
      </c>
      <c r="H429" s="4">
        <f>SUMIF(refunds!$G$2:$G$15,A429,refunds!$D$2:$D$15)</f>
        <v>0</v>
      </c>
      <c r="I429" s="4">
        <f>users[[#This Row],[paid_usd]]-users[[#This Row],[refunded_usd]]</f>
        <v>0</v>
      </c>
      <c r="J429" s="4">
        <f>IF(users[[#This Row],[successful_payments_count]]&gt;0,1,0)</f>
        <v>0</v>
      </c>
    </row>
    <row r="430" spans="1:10">
      <c r="A430">
        <v>429</v>
      </c>
      <c r="B430" s="3">
        <v>46049.2287731481</v>
      </c>
      <c r="C430" t="s">
        <v>18</v>
      </c>
      <c r="D430" t="s">
        <v>4</v>
      </c>
      <c r="E430">
        <v>3</v>
      </c>
      <c r="F430" s="4">
        <f>COUNTIFS(payments!$B$2:$B$203,A430,payments!$F$2:$F$203,"succeeded")</f>
        <v>1</v>
      </c>
      <c r="G430" s="4">
        <f>SUMIFS(payments!$G$2:$G$203,payments!$F$2:$F$203,"succeeded",payments!$B$2:$B$203,A430)</f>
        <v>9.99</v>
      </c>
      <c r="H430" s="4">
        <f>SUMIF(refunds!$G$2:$G$15,A430,refunds!$D$2:$D$15)</f>
        <v>0</v>
      </c>
      <c r="I430" s="4">
        <f>users[[#This Row],[paid_usd]]-users[[#This Row],[refunded_usd]]</f>
        <v>9.99</v>
      </c>
      <c r="J430" s="4">
        <f>IF(users[[#This Row],[successful_payments_count]]&gt;0,1,0)</f>
        <v>1</v>
      </c>
    </row>
    <row r="431" spans="1:10">
      <c r="A431">
        <v>430</v>
      </c>
      <c r="B431" s="3">
        <v>46072.3130902778</v>
      </c>
      <c r="C431" t="s">
        <v>15</v>
      </c>
      <c r="D431" t="s">
        <v>22</v>
      </c>
      <c r="F431" s="4">
        <f>COUNTIFS(payments!$B$2:$B$203,A431,payments!$F$2:$F$203,"succeeded")</f>
        <v>0</v>
      </c>
      <c r="G431" s="4">
        <f>SUMIFS(payments!$G$2:$G$203,payments!$F$2:$F$203,"succeeded",payments!$B$2:$B$203,A431)</f>
        <v>0</v>
      </c>
      <c r="H431" s="4">
        <f>SUMIF(refunds!$G$2:$G$15,A431,refunds!$D$2:$D$15)</f>
        <v>0</v>
      </c>
      <c r="I431" s="4">
        <f>users[[#This Row],[paid_usd]]-users[[#This Row],[refunded_usd]]</f>
        <v>0</v>
      </c>
      <c r="J431" s="4">
        <f>IF(users[[#This Row],[successful_payments_count]]&gt;0,1,0)</f>
        <v>0</v>
      </c>
    </row>
    <row r="432" spans="1:10">
      <c r="A432">
        <v>431</v>
      </c>
      <c r="B432" s="3">
        <v>46051.5235763889</v>
      </c>
      <c r="C432" t="s">
        <v>17</v>
      </c>
      <c r="D432" t="s">
        <v>22</v>
      </c>
      <c r="E432">
        <v>4</v>
      </c>
      <c r="F432" s="4">
        <f>COUNTIFS(payments!$B$2:$B$203,A432,payments!$F$2:$F$203,"succeeded")</f>
        <v>1</v>
      </c>
      <c r="G432" s="4">
        <f>SUMIFS(payments!$G$2:$G$203,payments!$F$2:$F$203,"succeeded",payments!$B$2:$B$203,A432)</f>
        <v>19.99</v>
      </c>
      <c r="H432" s="4">
        <f>SUMIF(refunds!$G$2:$G$15,A432,refunds!$D$2:$D$15)</f>
        <v>0</v>
      </c>
      <c r="I432" s="4">
        <f>users[[#This Row],[paid_usd]]-users[[#This Row],[refunded_usd]]</f>
        <v>19.99</v>
      </c>
      <c r="J432" s="4">
        <f>IF(users[[#This Row],[successful_payments_count]]&gt;0,1,0)</f>
        <v>1</v>
      </c>
    </row>
    <row r="433" spans="1:10">
      <c r="A433">
        <v>432</v>
      </c>
      <c r="B433" s="3">
        <v>46151.6393518519</v>
      </c>
      <c r="C433" t="s">
        <v>17</v>
      </c>
      <c r="D433" t="s">
        <v>4</v>
      </c>
      <c r="F433" s="4">
        <f>COUNTIFS(payments!$B$2:$B$203,A433,payments!$F$2:$F$203,"succeeded")</f>
        <v>0</v>
      </c>
      <c r="G433" s="4">
        <f>SUMIFS(payments!$G$2:$G$203,payments!$F$2:$F$203,"succeeded",payments!$B$2:$B$203,A433)</f>
        <v>0</v>
      </c>
      <c r="H433" s="4">
        <f>SUMIF(refunds!$G$2:$G$15,A433,refunds!$D$2:$D$15)</f>
        <v>0</v>
      </c>
      <c r="I433" s="4">
        <f>users[[#This Row],[paid_usd]]-users[[#This Row],[refunded_usd]]</f>
        <v>0</v>
      </c>
      <c r="J433" s="4">
        <f>IF(users[[#This Row],[successful_payments_count]]&gt;0,1,0)</f>
        <v>0</v>
      </c>
    </row>
    <row r="434" spans="1:10">
      <c r="A434">
        <v>433</v>
      </c>
      <c r="B434" s="3">
        <v>46136.6918865741</v>
      </c>
      <c r="C434" t="s">
        <v>19</v>
      </c>
      <c r="D434" t="s">
        <v>23</v>
      </c>
      <c r="E434">
        <v>4</v>
      </c>
      <c r="F434" s="4">
        <f>COUNTIFS(payments!$B$2:$B$203,A434,payments!$F$2:$F$203,"succeeded")</f>
        <v>0</v>
      </c>
      <c r="G434" s="4">
        <f>SUMIFS(payments!$G$2:$G$203,payments!$F$2:$F$203,"succeeded",payments!$B$2:$B$203,A434)</f>
        <v>0</v>
      </c>
      <c r="H434" s="4">
        <f>SUMIF(refunds!$G$2:$G$15,A434,refunds!$D$2:$D$15)</f>
        <v>0</v>
      </c>
      <c r="I434" s="4">
        <f>users[[#This Row],[paid_usd]]-users[[#This Row],[refunded_usd]]</f>
        <v>0</v>
      </c>
      <c r="J434" s="4">
        <f>IF(users[[#This Row],[successful_payments_count]]&gt;0,1,0)</f>
        <v>0</v>
      </c>
    </row>
    <row r="435" spans="1:10">
      <c r="A435">
        <v>434</v>
      </c>
      <c r="B435" s="3">
        <v>46176.6391087963</v>
      </c>
      <c r="C435" t="s">
        <v>16</v>
      </c>
      <c r="D435" t="s">
        <v>4</v>
      </c>
      <c r="E435">
        <v>6</v>
      </c>
      <c r="F435" s="4">
        <f>COUNTIFS(payments!$B$2:$B$203,A435,payments!$F$2:$F$203,"succeeded")</f>
        <v>0</v>
      </c>
      <c r="G435" s="4">
        <f>SUMIFS(payments!$G$2:$G$203,payments!$F$2:$F$203,"succeeded",payments!$B$2:$B$203,A435)</f>
        <v>0</v>
      </c>
      <c r="H435" s="4">
        <f>SUMIF(refunds!$G$2:$G$15,A435,refunds!$D$2:$D$15)</f>
        <v>0</v>
      </c>
      <c r="I435" s="4">
        <f>users[[#This Row],[paid_usd]]-users[[#This Row],[refunded_usd]]</f>
        <v>0</v>
      </c>
      <c r="J435" s="4">
        <f>IF(users[[#This Row],[successful_payments_count]]&gt;0,1,0)</f>
        <v>0</v>
      </c>
    </row>
    <row r="436" spans="1:10">
      <c r="A436">
        <v>435</v>
      </c>
      <c r="B436" s="3">
        <v>46166.9224074074</v>
      </c>
      <c r="C436" t="s">
        <v>15</v>
      </c>
      <c r="D436" t="s">
        <v>22</v>
      </c>
      <c r="E436">
        <v>2</v>
      </c>
      <c r="F436" s="4">
        <f>COUNTIFS(payments!$B$2:$B$203,A436,payments!$F$2:$F$203,"succeeded")</f>
        <v>0</v>
      </c>
      <c r="G436" s="4">
        <f>SUMIFS(payments!$G$2:$G$203,payments!$F$2:$F$203,"succeeded",payments!$B$2:$B$203,A436)</f>
        <v>0</v>
      </c>
      <c r="H436" s="4">
        <f>SUMIF(refunds!$G$2:$G$15,A436,refunds!$D$2:$D$15)</f>
        <v>0</v>
      </c>
      <c r="I436" s="4">
        <f>users[[#This Row],[paid_usd]]-users[[#This Row],[refunded_usd]]</f>
        <v>0</v>
      </c>
      <c r="J436" s="4">
        <f>IF(users[[#This Row],[successful_payments_count]]&gt;0,1,0)</f>
        <v>0</v>
      </c>
    </row>
    <row r="437" spans="1:10">
      <c r="A437">
        <v>436</v>
      </c>
      <c r="B437" s="3">
        <v>46066.383287037</v>
      </c>
      <c r="C437" t="s">
        <v>14</v>
      </c>
      <c r="D437" t="s">
        <v>22</v>
      </c>
      <c r="E437">
        <v>5</v>
      </c>
      <c r="F437" s="4">
        <f>COUNTIFS(payments!$B$2:$B$203,A437,payments!$F$2:$F$203,"succeeded")</f>
        <v>0</v>
      </c>
      <c r="G437" s="4">
        <f>SUMIFS(payments!$G$2:$G$203,payments!$F$2:$F$203,"succeeded",payments!$B$2:$B$203,A437)</f>
        <v>0</v>
      </c>
      <c r="H437" s="4">
        <f>SUMIF(refunds!$G$2:$G$15,A437,refunds!$D$2:$D$15)</f>
        <v>0</v>
      </c>
      <c r="I437" s="4">
        <f>users[[#This Row],[paid_usd]]-users[[#This Row],[refunded_usd]]</f>
        <v>0</v>
      </c>
      <c r="J437" s="4">
        <f>IF(users[[#This Row],[successful_payments_count]]&gt;0,1,0)</f>
        <v>0</v>
      </c>
    </row>
    <row r="438" spans="1:10">
      <c r="A438">
        <v>437</v>
      </c>
      <c r="B438" s="3">
        <v>46056.4474305556</v>
      </c>
      <c r="C438" t="s">
        <v>19</v>
      </c>
      <c r="D438" t="s">
        <v>22</v>
      </c>
      <c r="E438">
        <v>6</v>
      </c>
      <c r="F438" s="4">
        <f>COUNTIFS(payments!$B$2:$B$203,A438,payments!$F$2:$F$203,"succeeded")</f>
        <v>1</v>
      </c>
      <c r="G438" s="4">
        <f>SUMIFS(payments!$G$2:$G$203,payments!$F$2:$F$203,"succeeded",payments!$B$2:$B$203,A438)</f>
        <v>15.99</v>
      </c>
      <c r="H438" s="4">
        <f>SUMIF(refunds!$G$2:$G$15,A438,refunds!$D$2:$D$15)</f>
        <v>0</v>
      </c>
      <c r="I438" s="4">
        <f>users[[#This Row],[paid_usd]]-users[[#This Row],[refunded_usd]]</f>
        <v>15.99</v>
      </c>
      <c r="J438" s="4">
        <f>IF(users[[#This Row],[successful_payments_count]]&gt;0,1,0)</f>
        <v>1</v>
      </c>
    </row>
    <row r="439" spans="1:10">
      <c r="A439">
        <v>438</v>
      </c>
      <c r="B439" s="3">
        <v>46071.6157175926</v>
      </c>
      <c r="C439" t="s">
        <v>16</v>
      </c>
      <c r="D439" t="s">
        <v>23</v>
      </c>
      <c r="F439" s="4">
        <f>COUNTIFS(payments!$B$2:$B$203,A439,payments!$F$2:$F$203,"succeeded")</f>
        <v>0</v>
      </c>
      <c r="G439" s="4">
        <f>SUMIFS(payments!$G$2:$G$203,payments!$F$2:$F$203,"succeeded",payments!$B$2:$B$203,A439)</f>
        <v>0</v>
      </c>
      <c r="H439" s="4">
        <f>SUMIF(refunds!$G$2:$G$15,A439,refunds!$D$2:$D$15)</f>
        <v>0</v>
      </c>
      <c r="I439" s="4">
        <f>users[[#This Row],[paid_usd]]-users[[#This Row],[refunded_usd]]</f>
        <v>0</v>
      </c>
      <c r="J439" s="4">
        <f>IF(users[[#This Row],[successful_payments_count]]&gt;0,1,0)</f>
        <v>0</v>
      </c>
    </row>
    <row r="440" spans="1:10">
      <c r="A440">
        <v>439</v>
      </c>
      <c r="B440" s="3">
        <v>46035.0675810185</v>
      </c>
      <c r="C440" t="s">
        <v>17</v>
      </c>
      <c r="D440" t="s">
        <v>4</v>
      </c>
      <c r="E440">
        <v>4</v>
      </c>
      <c r="F440" s="4">
        <f>COUNTIFS(payments!$B$2:$B$203,A440,payments!$F$2:$F$203,"succeeded")</f>
        <v>1</v>
      </c>
      <c r="G440" s="4">
        <f>SUMIFS(payments!$G$2:$G$203,payments!$F$2:$F$203,"succeeded",payments!$B$2:$B$203,A440)</f>
        <v>19.99</v>
      </c>
      <c r="H440" s="4">
        <f>SUMIF(refunds!$G$2:$G$15,A440,refunds!$D$2:$D$15)</f>
        <v>0</v>
      </c>
      <c r="I440" s="4">
        <f>users[[#This Row],[paid_usd]]-users[[#This Row],[refunded_usd]]</f>
        <v>19.99</v>
      </c>
      <c r="J440" s="4">
        <f>IF(users[[#This Row],[successful_payments_count]]&gt;0,1,0)</f>
        <v>1</v>
      </c>
    </row>
    <row r="441" spans="1:10">
      <c r="A441">
        <v>440</v>
      </c>
      <c r="B441" s="3">
        <v>46082.1802083333</v>
      </c>
      <c r="C441" t="s">
        <v>14</v>
      </c>
      <c r="D441" t="s">
        <v>22</v>
      </c>
      <c r="E441">
        <v>5</v>
      </c>
      <c r="F441" s="4">
        <f>COUNTIFS(payments!$B$2:$B$203,A441,payments!$F$2:$F$203,"succeeded")</f>
        <v>0</v>
      </c>
      <c r="G441" s="4">
        <f>SUMIFS(payments!$G$2:$G$203,payments!$F$2:$F$203,"succeeded",payments!$B$2:$B$203,A441)</f>
        <v>0</v>
      </c>
      <c r="H441" s="4">
        <f>SUMIF(refunds!$G$2:$G$15,A441,refunds!$D$2:$D$15)</f>
        <v>0</v>
      </c>
      <c r="I441" s="4">
        <f>users[[#This Row],[paid_usd]]-users[[#This Row],[refunded_usd]]</f>
        <v>0</v>
      </c>
      <c r="J441" s="4">
        <f>IF(users[[#This Row],[successful_payments_count]]&gt;0,1,0)</f>
        <v>0</v>
      </c>
    </row>
    <row r="442" spans="1:10">
      <c r="A442">
        <v>441</v>
      </c>
      <c r="B442" s="3">
        <v>46133.2915856481</v>
      </c>
      <c r="C442" t="s">
        <v>18</v>
      </c>
      <c r="D442" t="s">
        <v>22</v>
      </c>
      <c r="F442" s="4">
        <f>COUNTIFS(payments!$B$2:$B$203,A442,payments!$F$2:$F$203,"succeeded")</f>
        <v>0</v>
      </c>
      <c r="G442" s="4">
        <f>SUMIFS(payments!$G$2:$G$203,payments!$F$2:$F$203,"succeeded",payments!$B$2:$B$203,A442)</f>
        <v>0</v>
      </c>
      <c r="H442" s="4">
        <f>SUMIF(refunds!$G$2:$G$15,A442,refunds!$D$2:$D$15)</f>
        <v>0</v>
      </c>
      <c r="I442" s="4">
        <f>users[[#This Row],[paid_usd]]-users[[#This Row],[refunded_usd]]</f>
        <v>0</v>
      </c>
      <c r="J442" s="4">
        <f>IF(users[[#This Row],[successful_payments_count]]&gt;0,1,0)</f>
        <v>0</v>
      </c>
    </row>
    <row r="443" spans="1:10">
      <c r="A443">
        <v>442</v>
      </c>
      <c r="B443" s="3">
        <v>46187.822037037</v>
      </c>
      <c r="C443" t="s">
        <v>15</v>
      </c>
      <c r="D443" t="s">
        <v>22</v>
      </c>
      <c r="E443">
        <v>7</v>
      </c>
      <c r="F443" s="4">
        <f>COUNTIFS(payments!$B$2:$B$203,A443,payments!$F$2:$F$203,"succeeded")</f>
        <v>0</v>
      </c>
      <c r="G443" s="4">
        <f>SUMIFS(payments!$G$2:$G$203,payments!$F$2:$F$203,"succeeded",payments!$B$2:$B$203,A443)</f>
        <v>0</v>
      </c>
      <c r="H443" s="4">
        <f>SUMIF(refunds!$G$2:$G$15,A443,refunds!$D$2:$D$15)</f>
        <v>0</v>
      </c>
      <c r="I443" s="4">
        <f>users[[#This Row],[paid_usd]]-users[[#This Row],[refunded_usd]]</f>
        <v>0</v>
      </c>
      <c r="J443" s="4">
        <f>IF(users[[#This Row],[successful_payments_count]]&gt;0,1,0)</f>
        <v>0</v>
      </c>
    </row>
    <row r="444" spans="1:10">
      <c r="A444">
        <v>443</v>
      </c>
      <c r="B444" s="3">
        <v>46048.8236226852</v>
      </c>
      <c r="C444" t="s">
        <v>15</v>
      </c>
      <c r="D444" t="s">
        <v>4</v>
      </c>
      <c r="F444" s="4">
        <f>COUNTIFS(payments!$B$2:$B$203,A444,payments!$F$2:$F$203,"succeeded")</f>
        <v>2</v>
      </c>
      <c r="G444" s="4">
        <f>SUMIFS(payments!$G$2:$G$203,payments!$F$2:$F$203,"succeeded",payments!$B$2:$B$203,A444)</f>
        <v>14.98</v>
      </c>
      <c r="H444" s="4">
        <f>SUMIF(refunds!$G$2:$G$15,A444,refunds!$D$2:$D$15)</f>
        <v>0</v>
      </c>
      <c r="I444" s="4">
        <f>users[[#This Row],[paid_usd]]-users[[#This Row],[refunded_usd]]</f>
        <v>14.98</v>
      </c>
      <c r="J444" s="4">
        <f>IF(users[[#This Row],[successful_payments_count]]&gt;0,1,0)</f>
        <v>1</v>
      </c>
    </row>
    <row r="445" spans="1:10">
      <c r="A445">
        <v>444</v>
      </c>
      <c r="B445" s="3">
        <v>46136.6160532407</v>
      </c>
      <c r="C445" t="s">
        <v>18</v>
      </c>
      <c r="D445" t="s">
        <v>22</v>
      </c>
      <c r="F445" s="4">
        <f>COUNTIFS(payments!$B$2:$B$203,A445,payments!$F$2:$F$203,"succeeded")</f>
        <v>1</v>
      </c>
      <c r="G445" s="4">
        <f>SUMIFS(payments!$G$2:$G$203,payments!$F$2:$F$203,"succeeded",payments!$B$2:$B$203,A445)</f>
        <v>3.99</v>
      </c>
      <c r="H445" s="4">
        <f>SUMIF(refunds!$G$2:$G$15,A445,refunds!$D$2:$D$15)</f>
        <v>0</v>
      </c>
      <c r="I445" s="4">
        <f>users[[#This Row],[paid_usd]]-users[[#This Row],[refunded_usd]]</f>
        <v>3.99</v>
      </c>
      <c r="J445" s="4">
        <f>IF(users[[#This Row],[successful_payments_count]]&gt;0,1,0)</f>
        <v>1</v>
      </c>
    </row>
    <row r="446" spans="1:10">
      <c r="A446">
        <v>445</v>
      </c>
      <c r="B446" s="3">
        <v>46040.5068287037</v>
      </c>
      <c r="C446" t="s">
        <v>16</v>
      </c>
      <c r="D446" t="s">
        <v>4</v>
      </c>
      <c r="E446">
        <v>6</v>
      </c>
      <c r="F446" s="4">
        <f>COUNTIFS(payments!$B$2:$B$203,A446,payments!$F$2:$F$203,"succeeded")</f>
        <v>0</v>
      </c>
      <c r="G446" s="4">
        <f>SUMIFS(payments!$G$2:$G$203,payments!$F$2:$F$203,"succeeded",payments!$B$2:$B$203,A446)</f>
        <v>0</v>
      </c>
      <c r="H446" s="4">
        <f>SUMIF(refunds!$G$2:$G$15,A446,refunds!$D$2:$D$15)</f>
        <v>0</v>
      </c>
      <c r="I446" s="4">
        <f>users[[#This Row],[paid_usd]]-users[[#This Row],[refunded_usd]]</f>
        <v>0</v>
      </c>
      <c r="J446" s="4">
        <f>IF(users[[#This Row],[successful_payments_count]]&gt;0,1,0)</f>
        <v>0</v>
      </c>
    </row>
    <row r="447" spans="1:10">
      <c r="A447">
        <v>446</v>
      </c>
      <c r="B447" s="3">
        <v>46171.461875</v>
      </c>
      <c r="C447" t="s">
        <v>19</v>
      </c>
      <c r="D447" t="s">
        <v>22</v>
      </c>
      <c r="E447">
        <v>4</v>
      </c>
      <c r="F447" s="4">
        <f>COUNTIFS(payments!$B$2:$B$203,A447,payments!$F$2:$F$203,"succeeded")</f>
        <v>0</v>
      </c>
      <c r="G447" s="4">
        <f>SUMIFS(payments!$G$2:$G$203,payments!$F$2:$F$203,"succeeded",payments!$B$2:$B$203,A447)</f>
        <v>0</v>
      </c>
      <c r="H447" s="4">
        <f>SUMIF(refunds!$G$2:$G$15,A447,refunds!$D$2:$D$15)</f>
        <v>0</v>
      </c>
      <c r="I447" s="4">
        <f>users[[#This Row],[paid_usd]]-users[[#This Row],[refunded_usd]]</f>
        <v>0</v>
      </c>
      <c r="J447" s="4">
        <f>IF(users[[#This Row],[successful_payments_count]]&gt;0,1,0)</f>
        <v>0</v>
      </c>
    </row>
    <row r="448" spans="1:10">
      <c r="A448">
        <v>447</v>
      </c>
      <c r="B448" s="3">
        <v>46144.2185416667</v>
      </c>
      <c r="C448" t="s">
        <v>15</v>
      </c>
      <c r="D448" t="s">
        <v>23</v>
      </c>
      <c r="E448">
        <v>3</v>
      </c>
      <c r="F448" s="4">
        <f>COUNTIFS(payments!$B$2:$B$203,A448,payments!$F$2:$F$203,"succeeded")</f>
        <v>1</v>
      </c>
      <c r="G448" s="4">
        <f>SUMIFS(payments!$G$2:$G$203,payments!$F$2:$F$203,"succeeded",payments!$B$2:$B$203,A448)</f>
        <v>4.99</v>
      </c>
      <c r="H448" s="4">
        <f>SUMIF(refunds!$G$2:$G$15,A448,refunds!$D$2:$D$15)</f>
        <v>0</v>
      </c>
      <c r="I448" s="4">
        <f>users[[#This Row],[paid_usd]]-users[[#This Row],[refunded_usd]]</f>
        <v>4.99</v>
      </c>
      <c r="J448" s="4">
        <f>IF(users[[#This Row],[successful_payments_count]]&gt;0,1,0)</f>
        <v>1</v>
      </c>
    </row>
    <row r="449" spans="1:10">
      <c r="A449">
        <v>448</v>
      </c>
      <c r="B449" s="3">
        <v>46172.1885648148</v>
      </c>
      <c r="C449" t="s">
        <v>15</v>
      </c>
      <c r="D449" t="s">
        <v>4</v>
      </c>
      <c r="E449">
        <v>6</v>
      </c>
      <c r="F449" s="4">
        <f>COUNTIFS(payments!$B$2:$B$203,A449,payments!$F$2:$F$203,"succeeded")</f>
        <v>0</v>
      </c>
      <c r="G449" s="4">
        <f>SUMIFS(payments!$G$2:$G$203,payments!$F$2:$F$203,"succeeded",payments!$B$2:$B$203,A449)</f>
        <v>0</v>
      </c>
      <c r="H449" s="4">
        <f>SUMIF(refunds!$G$2:$G$15,A449,refunds!$D$2:$D$15)</f>
        <v>0</v>
      </c>
      <c r="I449" s="4">
        <f>users[[#This Row],[paid_usd]]-users[[#This Row],[refunded_usd]]</f>
        <v>0</v>
      </c>
      <c r="J449" s="4">
        <f>IF(users[[#This Row],[successful_payments_count]]&gt;0,1,0)</f>
        <v>0</v>
      </c>
    </row>
    <row r="450" spans="1:10">
      <c r="A450">
        <v>449</v>
      </c>
      <c r="B450" s="3">
        <v>46124.2470833333</v>
      </c>
      <c r="C450" t="s">
        <v>18</v>
      </c>
      <c r="D450" t="s">
        <v>4</v>
      </c>
      <c r="E450">
        <v>3</v>
      </c>
      <c r="F450" s="4">
        <f>COUNTIFS(payments!$B$2:$B$203,A450,payments!$F$2:$F$203,"succeeded")</f>
        <v>0</v>
      </c>
      <c r="G450" s="4">
        <f>SUMIFS(payments!$G$2:$G$203,payments!$F$2:$F$203,"succeeded",payments!$B$2:$B$203,A450)</f>
        <v>0</v>
      </c>
      <c r="H450" s="4">
        <f>SUMIF(refunds!$G$2:$G$15,A450,refunds!$D$2:$D$15)</f>
        <v>0</v>
      </c>
      <c r="I450" s="4">
        <f>users[[#This Row],[paid_usd]]-users[[#This Row],[refunded_usd]]</f>
        <v>0</v>
      </c>
      <c r="J450" s="4">
        <f>IF(users[[#This Row],[successful_payments_count]]&gt;0,1,0)</f>
        <v>0</v>
      </c>
    </row>
    <row r="451" spans="1:10">
      <c r="A451">
        <v>450</v>
      </c>
      <c r="B451" s="3">
        <v>46145.7238078704</v>
      </c>
      <c r="C451" t="s">
        <v>16</v>
      </c>
      <c r="D451" t="s">
        <v>22</v>
      </c>
      <c r="E451">
        <v>1</v>
      </c>
      <c r="F451" s="4">
        <f>COUNTIFS(payments!$B$2:$B$203,A451,payments!$F$2:$F$203,"succeeded")</f>
        <v>4</v>
      </c>
      <c r="G451" s="4">
        <f>SUMIFS(payments!$G$2:$G$203,payments!$F$2:$F$203,"succeeded",payments!$B$2:$B$203,A451)</f>
        <v>33.96</v>
      </c>
      <c r="H451" s="4">
        <f>SUMIF(refunds!$G$2:$G$15,A451,refunds!$D$2:$D$15)</f>
        <v>19.99</v>
      </c>
      <c r="I451" s="4">
        <f>users[[#This Row],[paid_usd]]-users[[#This Row],[refunded_usd]]</f>
        <v>13.97</v>
      </c>
      <c r="J451" s="4">
        <f>IF(users[[#This Row],[successful_payments_count]]&gt;0,1,0)</f>
        <v>1</v>
      </c>
    </row>
    <row r="452" spans="1:10">
      <c r="A452">
        <v>451</v>
      </c>
      <c r="B452" s="3">
        <v>46159.2152662037</v>
      </c>
      <c r="C452" t="s">
        <v>17</v>
      </c>
      <c r="D452" t="s">
        <v>4</v>
      </c>
      <c r="F452" s="4">
        <f>COUNTIFS(payments!$B$2:$B$203,A452,payments!$F$2:$F$203,"succeeded")</f>
        <v>0</v>
      </c>
      <c r="G452" s="4">
        <f>SUMIFS(payments!$G$2:$G$203,payments!$F$2:$F$203,"succeeded",payments!$B$2:$B$203,A452)</f>
        <v>0</v>
      </c>
      <c r="H452" s="4">
        <f>SUMIF(refunds!$G$2:$G$15,A452,refunds!$D$2:$D$15)</f>
        <v>0</v>
      </c>
      <c r="I452" s="4">
        <f>users[[#This Row],[paid_usd]]-users[[#This Row],[refunded_usd]]</f>
        <v>0</v>
      </c>
      <c r="J452" s="4">
        <f>IF(users[[#This Row],[successful_payments_count]]&gt;0,1,0)</f>
        <v>0</v>
      </c>
    </row>
    <row r="453" spans="1:10">
      <c r="A453">
        <v>452</v>
      </c>
      <c r="B453" s="3">
        <v>46171.3861458333</v>
      </c>
      <c r="C453" t="s">
        <v>18</v>
      </c>
      <c r="D453" t="s">
        <v>4</v>
      </c>
      <c r="F453" s="4">
        <f>COUNTIFS(payments!$B$2:$B$203,A453,payments!$F$2:$F$203,"succeeded")</f>
        <v>1</v>
      </c>
      <c r="G453" s="4">
        <f>SUMIFS(payments!$G$2:$G$203,payments!$F$2:$F$203,"succeeded",payments!$B$2:$B$203,A453)</f>
        <v>19.99</v>
      </c>
      <c r="H453" s="4">
        <f>SUMIF(refunds!$G$2:$G$15,A453,refunds!$D$2:$D$15)</f>
        <v>0</v>
      </c>
      <c r="I453" s="4">
        <f>users[[#This Row],[paid_usd]]-users[[#This Row],[refunded_usd]]</f>
        <v>19.99</v>
      </c>
      <c r="J453" s="4">
        <f>IF(users[[#This Row],[successful_payments_count]]&gt;0,1,0)</f>
        <v>1</v>
      </c>
    </row>
    <row r="454" spans="1:10">
      <c r="A454">
        <v>453</v>
      </c>
      <c r="B454" s="3">
        <v>46078.5323032407</v>
      </c>
      <c r="C454" t="s">
        <v>19</v>
      </c>
      <c r="D454" t="s">
        <v>23</v>
      </c>
      <c r="E454">
        <v>5</v>
      </c>
      <c r="F454" s="4">
        <f>COUNTIFS(payments!$B$2:$B$203,A454,payments!$F$2:$F$203,"succeeded")</f>
        <v>1</v>
      </c>
      <c r="G454" s="4">
        <f>SUMIFS(payments!$G$2:$G$203,payments!$F$2:$F$203,"succeeded",payments!$B$2:$B$203,A454)</f>
        <v>19.99</v>
      </c>
      <c r="H454" s="4">
        <f>SUMIF(refunds!$G$2:$G$15,A454,refunds!$D$2:$D$15)</f>
        <v>0</v>
      </c>
      <c r="I454" s="4">
        <f>users[[#This Row],[paid_usd]]-users[[#This Row],[refunded_usd]]</f>
        <v>19.99</v>
      </c>
      <c r="J454" s="4">
        <f>IF(users[[#This Row],[successful_payments_count]]&gt;0,1,0)</f>
        <v>1</v>
      </c>
    </row>
    <row r="455" spans="1:10">
      <c r="A455">
        <v>454</v>
      </c>
      <c r="B455" s="3">
        <v>46082.5199305556</v>
      </c>
      <c r="C455" t="s">
        <v>18</v>
      </c>
      <c r="D455" t="s">
        <v>22</v>
      </c>
      <c r="E455">
        <v>5</v>
      </c>
      <c r="F455" s="4">
        <f>COUNTIFS(payments!$B$2:$B$203,A455,payments!$F$2:$F$203,"succeeded")</f>
        <v>1</v>
      </c>
      <c r="G455" s="4">
        <f>SUMIFS(payments!$G$2:$G$203,payments!$F$2:$F$203,"succeeded",payments!$B$2:$B$203,A455)</f>
        <v>19.99</v>
      </c>
      <c r="H455" s="4">
        <f>SUMIF(refunds!$G$2:$G$15,A455,refunds!$D$2:$D$15)</f>
        <v>0</v>
      </c>
      <c r="I455" s="4">
        <f>users[[#This Row],[paid_usd]]-users[[#This Row],[refunded_usd]]</f>
        <v>19.99</v>
      </c>
      <c r="J455" s="4">
        <f>IF(users[[#This Row],[successful_payments_count]]&gt;0,1,0)</f>
        <v>1</v>
      </c>
    </row>
    <row r="456" spans="1:10">
      <c r="A456">
        <v>455</v>
      </c>
      <c r="B456" s="3">
        <v>46065.1591087963</v>
      </c>
      <c r="C456" t="s">
        <v>16</v>
      </c>
      <c r="D456" t="s">
        <v>22</v>
      </c>
      <c r="E456">
        <v>7</v>
      </c>
      <c r="F456" s="4">
        <f>COUNTIFS(payments!$B$2:$B$203,A456,payments!$F$2:$F$203,"succeeded")</f>
        <v>1</v>
      </c>
      <c r="G456" s="4">
        <f>SUMIFS(payments!$G$2:$G$203,payments!$F$2:$F$203,"succeeded",payments!$B$2:$B$203,A456)</f>
        <v>9.99</v>
      </c>
      <c r="H456" s="4">
        <f>SUMIF(refunds!$G$2:$G$15,A456,refunds!$D$2:$D$15)</f>
        <v>0</v>
      </c>
      <c r="I456" s="4">
        <f>users[[#This Row],[paid_usd]]-users[[#This Row],[refunded_usd]]</f>
        <v>9.99</v>
      </c>
      <c r="J456" s="4">
        <f>IF(users[[#This Row],[successful_payments_count]]&gt;0,1,0)</f>
        <v>1</v>
      </c>
    </row>
    <row r="457" spans="1:10">
      <c r="A457">
        <v>456</v>
      </c>
      <c r="B457" s="3">
        <v>46132.3186458333</v>
      </c>
      <c r="C457" t="s">
        <v>19</v>
      </c>
      <c r="D457" t="s">
        <v>23</v>
      </c>
      <c r="F457" s="4">
        <f>COUNTIFS(payments!$B$2:$B$203,A457,payments!$F$2:$F$203,"succeeded")</f>
        <v>1</v>
      </c>
      <c r="G457" s="4">
        <f>SUMIFS(payments!$G$2:$G$203,payments!$F$2:$F$203,"succeeded",payments!$B$2:$B$203,A457)</f>
        <v>19.99</v>
      </c>
      <c r="H457" s="4">
        <f>SUMIF(refunds!$G$2:$G$15,A457,refunds!$D$2:$D$15)</f>
        <v>0</v>
      </c>
      <c r="I457" s="4">
        <f>users[[#This Row],[paid_usd]]-users[[#This Row],[refunded_usd]]</f>
        <v>19.99</v>
      </c>
      <c r="J457" s="4">
        <f>IF(users[[#This Row],[successful_payments_count]]&gt;0,1,0)</f>
        <v>1</v>
      </c>
    </row>
    <row r="458" spans="1:10">
      <c r="A458">
        <v>457</v>
      </c>
      <c r="B458" s="3">
        <v>46139.1647222222</v>
      </c>
      <c r="C458" t="s">
        <v>17</v>
      </c>
      <c r="D458" t="s">
        <v>4</v>
      </c>
      <c r="E458">
        <v>1</v>
      </c>
      <c r="F458" s="4">
        <f>COUNTIFS(payments!$B$2:$B$203,A458,payments!$F$2:$F$203,"succeeded")</f>
        <v>0</v>
      </c>
      <c r="G458" s="4">
        <f>SUMIFS(payments!$G$2:$G$203,payments!$F$2:$F$203,"succeeded",payments!$B$2:$B$203,A458)</f>
        <v>0</v>
      </c>
      <c r="H458" s="4">
        <f>SUMIF(refunds!$G$2:$G$15,A458,refunds!$D$2:$D$15)</f>
        <v>0</v>
      </c>
      <c r="I458" s="4">
        <f>users[[#This Row],[paid_usd]]-users[[#This Row],[refunded_usd]]</f>
        <v>0</v>
      </c>
      <c r="J458" s="4">
        <f>IF(users[[#This Row],[successful_payments_count]]&gt;0,1,0)</f>
        <v>0</v>
      </c>
    </row>
    <row r="459" spans="1:10">
      <c r="A459">
        <v>458</v>
      </c>
      <c r="B459" s="3">
        <v>46136.1163425926</v>
      </c>
      <c r="C459" t="s">
        <v>14</v>
      </c>
      <c r="D459" t="s">
        <v>23</v>
      </c>
      <c r="F459" s="4">
        <f>COUNTIFS(payments!$B$2:$B$203,A459,payments!$F$2:$F$203,"succeeded")</f>
        <v>0</v>
      </c>
      <c r="G459" s="4">
        <f>SUMIFS(payments!$G$2:$G$203,payments!$F$2:$F$203,"succeeded",payments!$B$2:$B$203,A459)</f>
        <v>0</v>
      </c>
      <c r="H459" s="4">
        <f>SUMIF(refunds!$G$2:$G$15,A459,refunds!$D$2:$D$15)</f>
        <v>0</v>
      </c>
      <c r="I459" s="4">
        <f>users[[#This Row],[paid_usd]]-users[[#This Row],[refunded_usd]]</f>
        <v>0</v>
      </c>
      <c r="J459" s="4">
        <f>IF(users[[#This Row],[successful_payments_count]]&gt;0,1,0)</f>
        <v>0</v>
      </c>
    </row>
    <row r="460" spans="1:10">
      <c r="A460">
        <v>459</v>
      </c>
      <c r="B460" s="3">
        <v>46033.3308564815</v>
      </c>
      <c r="C460" t="s">
        <v>16</v>
      </c>
      <c r="D460" t="s">
        <v>4</v>
      </c>
      <c r="E460">
        <v>3</v>
      </c>
      <c r="F460" s="4">
        <f>COUNTIFS(payments!$B$2:$B$203,A460,payments!$F$2:$F$203,"succeeded")</f>
        <v>1</v>
      </c>
      <c r="G460" s="4">
        <f>SUMIFS(payments!$G$2:$G$203,payments!$F$2:$F$203,"succeeded",payments!$B$2:$B$203,A460)</f>
        <v>4.99</v>
      </c>
      <c r="H460" s="4">
        <f>SUMIF(refunds!$G$2:$G$15,A460,refunds!$D$2:$D$15)</f>
        <v>0</v>
      </c>
      <c r="I460" s="4">
        <f>users[[#This Row],[paid_usd]]-users[[#This Row],[refunded_usd]]</f>
        <v>4.99</v>
      </c>
      <c r="J460" s="4">
        <f>IF(users[[#This Row],[successful_payments_count]]&gt;0,1,0)</f>
        <v>1</v>
      </c>
    </row>
    <row r="461" spans="1:10">
      <c r="A461">
        <v>460</v>
      </c>
      <c r="B461" s="3">
        <v>46056.6273148148</v>
      </c>
      <c r="C461" t="s">
        <v>17</v>
      </c>
      <c r="D461" t="s">
        <v>23</v>
      </c>
      <c r="E461">
        <v>1</v>
      </c>
      <c r="F461" s="4">
        <f>COUNTIFS(payments!$B$2:$B$203,A461,payments!$F$2:$F$203,"succeeded")</f>
        <v>0</v>
      </c>
      <c r="G461" s="4">
        <f>SUMIFS(payments!$G$2:$G$203,payments!$F$2:$F$203,"succeeded",payments!$B$2:$B$203,A461)</f>
        <v>0</v>
      </c>
      <c r="H461" s="4">
        <f>SUMIF(refunds!$G$2:$G$15,A461,refunds!$D$2:$D$15)</f>
        <v>0</v>
      </c>
      <c r="I461" s="4">
        <f>users[[#This Row],[paid_usd]]-users[[#This Row],[refunded_usd]]</f>
        <v>0</v>
      </c>
      <c r="J461" s="4">
        <f>IF(users[[#This Row],[successful_payments_count]]&gt;0,1,0)</f>
        <v>0</v>
      </c>
    </row>
    <row r="462" spans="1:10">
      <c r="A462">
        <v>461</v>
      </c>
      <c r="B462" s="3">
        <v>46042.537662037</v>
      </c>
      <c r="C462" t="s">
        <v>14</v>
      </c>
      <c r="D462" t="s">
        <v>23</v>
      </c>
      <c r="E462">
        <v>7</v>
      </c>
      <c r="F462" s="4">
        <f>COUNTIFS(payments!$B$2:$B$203,A462,payments!$F$2:$F$203,"succeeded")</f>
        <v>0</v>
      </c>
      <c r="G462" s="4">
        <f>SUMIFS(payments!$G$2:$G$203,payments!$F$2:$F$203,"succeeded",payments!$B$2:$B$203,A462)</f>
        <v>0</v>
      </c>
      <c r="H462" s="4">
        <f>SUMIF(refunds!$G$2:$G$15,A462,refunds!$D$2:$D$15)</f>
        <v>0</v>
      </c>
      <c r="I462" s="4">
        <f>users[[#This Row],[paid_usd]]-users[[#This Row],[refunded_usd]]</f>
        <v>0</v>
      </c>
      <c r="J462" s="4">
        <f>IF(users[[#This Row],[successful_payments_count]]&gt;0,1,0)</f>
        <v>0</v>
      </c>
    </row>
    <row r="463" spans="1:10">
      <c r="A463">
        <v>462</v>
      </c>
      <c r="B463" s="3">
        <v>46035.1522916667</v>
      </c>
      <c r="C463" t="s">
        <v>15</v>
      </c>
      <c r="D463" t="s">
        <v>23</v>
      </c>
      <c r="E463">
        <v>2</v>
      </c>
      <c r="F463" s="4">
        <f>COUNTIFS(payments!$B$2:$B$203,A463,payments!$F$2:$F$203,"succeeded")</f>
        <v>1</v>
      </c>
      <c r="G463" s="4">
        <f>SUMIFS(payments!$G$2:$G$203,payments!$F$2:$F$203,"succeeded",payments!$B$2:$B$203,A463)</f>
        <v>4.99</v>
      </c>
      <c r="H463" s="4">
        <f>SUMIF(refunds!$G$2:$G$15,A463,refunds!$D$2:$D$15)</f>
        <v>0</v>
      </c>
      <c r="I463" s="4">
        <f>users[[#This Row],[paid_usd]]-users[[#This Row],[refunded_usd]]</f>
        <v>4.99</v>
      </c>
      <c r="J463" s="4">
        <f>IF(users[[#This Row],[successful_payments_count]]&gt;0,1,0)</f>
        <v>1</v>
      </c>
    </row>
    <row r="464" spans="1:10">
      <c r="A464">
        <v>463</v>
      </c>
      <c r="B464" s="3">
        <v>46119.0768402778</v>
      </c>
      <c r="C464" t="s">
        <v>15</v>
      </c>
      <c r="D464" t="s">
        <v>4</v>
      </c>
      <c r="E464">
        <v>2</v>
      </c>
      <c r="F464" s="4">
        <f>COUNTIFS(payments!$B$2:$B$203,A464,payments!$F$2:$F$203,"succeeded")</f>
        <v>0</v>
      </c>
      <c r="G464" s="4">
        <f>SUMIFS(payments!$G$2:$G$203,payments!$F$2:$F$203,"succeeded",payments!$B$2:$B$203,A464)</f>
        <v>0</v>
      </c>
      <c r="H464" s="4">
        <f>SUMIF(refunds!$G$2:$G$15,A464,refunds!$D$2:$D$15)</f>
        <v>0</v>
      </c>
      <c r="I464" s="4">
        <f>users[[#This Row],[paid_usd]]-users[[#This Row],[refunded_usd]]</f>
        <v>0</v>
      </c>
      <c r="J464" s="4">
        <f>IF(users[[#This Row],[successful_payments_count]]&gt;0,1,0)</f>
        <v>0</v>
      </c>
    </row>
    <row r="465" spans="1:10">
      <c r="A465">
        <v>464</v>
      </c>
      <c r="B465" s="3">
        <v>46052.2079513889</v>
      </c>
      <c r="C465" t="s">
        <v>17</v>
      </c>
      <c r="D465" t="s">
        <v>23</v>
      </c>
      <c r="E465">
        <v>2</v>
      </c>
      <c r="F465" s="4">
        <f>COUNTIFS(payments!$B$2:$B$203,A465,payments!$F$2:$F$203,"succeeded")</f>
        <v>0</v>
      </c>
      <c r="G465" s="4">
        <f>SUMIFS(payments!$G$2:$G$203,payments!$F$2:$F$203,"succeeded",payments!$B$2:$B$203,A465)</f>
        <v>0</v>
      </c>
      <c r="H465" s="4">
        <f>SUMIF(refunds!$G$2:$G$15,A465,refunds!$D$2:$D$15)</f>
        <v>0</v>
      </c>
      <c r="I465" s="4">
        <f>users[[#This Row],[paid_usd]]-users[[#This Row],[refunded_usd]]</f>
        <v>0</v>
      </c>
      <c r="J465" s="4">
        <f>IF(users[[#This Row],[successful_payments_count]]&gt;0,1,0)</f>
        <v>0</v>
      </c>
    </row>
    <row r="466" spans="1:10">
      <c r="A466">
        <v>465</v>
      </c>
      <c r="B466" s="3">
        <v>46097.7168518519</v>
      </c>
      <c r="C466" t="s">
        <v>18</v>
      </c>
      <c r="D466" t="s">
        <v>22</v>
      </c>
      <c r="E466">
        <v>5</v>
      </c>
      <c r="F466" s="4">
        <f>COUNTIFS(payments!$B$2:$B$203,A466,payments!$F$2:$F$203,"succeeded")</f>
        <v>0</v>
      </c>
      <c r="G466" s="4">
        <f>SUMIFS(payments!$G$2:$G$203,payments!$F$2:$F$203,"succeeded",payments!$B$2:$B$203,A466)</f>
        <v>0</v>
      </c>
      <c r="H466" s="4">
        <f>SUMIF(refunds!$G$2:$G$15,A466,refunds!$D$2:$D$15)</f>
        <v>0</v>
      </c>
      <c r="I466" s="4">
        <f>users[[#This Row],[paid_usd]]-users[[#This Row],[refunded_usd]]</f>
        <v>0</v>
      </c>
      <c r="J466" s="4">
        <f>IF(users[[#This Row],[successful_payments_count]]&gt;0,1,0)</f>
        <v>0</v>
      </c>
    </row>
    <row r="467" spans="1:10">
      <c r="A467">
        <v>466</v>
      </c>
      <c r="B467" s="3">
        <v>46163.7679166667</v>
      </c>
      <c r="C467" t="s">
        <v>14</v>
      </c>
      <c r="D467" t="s">
        <v>4</v>
      </c>
      <c r="E467">
        <v>6</v>
      </c>
      <c r="F467" s="4">
        <f>COUNTIFS(payments!$B$2:$B$203,A467,payments!$F$2:$F$203,"succeeded")</f>
        <v>1</v>
      </c>
      <c r="G467" s="4">
        <f>SUMIFS(payments!$G$2:$G$203,payments!$F$2:$F$203,"succeeded",payments!$B$2:$B$203,A467)</f>
        <v>4.99</v>
      </c>
      <c r="H467" s="4">
        <f>SUMIF(refunds!$G$2:$G$15,A467,refunds!$D$2:$D$15)</f>
        <v>0</v>
      </c>
      <c r="I467" s="4">
        <f>users[[#This Row],[paid_usd]]-users[[#This Row],[refunded_usd]]</f>
        <v>4.99</v>
      </c>
      <c r="J467" s="4">
        <f>IF(users[[#This Row],[successful_payments_count]]&gt;0,1,0)</f>
        <v>1</v>
      </c>
    </row>
    <row r="468" spans="1:10">
      <c r="A468">
        <v>467</v>
      </c>
      <c r="B468" s="3">
        <v>46084.232650463</v>
      </c>
      <c r="C468" t="s">
        <v>14</v>
      </c>
      <c r="D468" t="s">
        <v>4</v>
      </c>
      <c r="E468">
        <v>5</v>
      </c>
      <c r="F468" s="4">
        <f>COUNTIFS(payments!$B$2:$B$203,A468,payments!$F$2:$F$203,"succeeded")</f>
        <v>0</v>
      </c>
      <c r="G468" s="4">
        <f>SUMIFS(payments!$G$2:$G$203,payments!$F$2:$F$203,"succeeded",payments!$B$2:$B$203,A468)</f>
        <v>0</v>
      </c>
      <c r="H468" s="4">
        <f>SUMIF(refunds!$G$2:$G$15,A468,refunds!$D$2:$D$15)</f>
        <v>0</v>
      </c>
      <c r="I468" s="4">
        <f>users[[#This Row],[paid_usd]]-users[[#This Row],[refunded_usd]]</f>
        <v>0</v>
      </c>
      <c r="J468" s="4">
        <f>IF(users[[#This Row],[successful_payments_count]]&gt;0,1,0)</f>
        <v>0</v>
      </c>
    </row>
    <row r="469" spans="1:10">
      <c r="A469">
        <v>468</v>
      </c>
      <c r="B469" s="3">
        <v>46047.3295601852</v>
      </c>
      <c r="C469" t="s">
        <v>19</v>
      </c>
      <c r="D469" t="s">
        <v>4</v>
      </c>
      <c r="E469">
        <v>6</v>
      </c>
      <c r="F469" s="4">
        <f>COUNTIFS(payments!$B$2:$B$203,A469,payments!$F$2:$F$203,"succeeded")</f>
        <v>0</v>
      </c>
      <c r="G469" s="4">
        <f>SUMIFS(payments!$G$2:$G$203,payments!$F$2:$F$203,"succeeded",payments!$B$2:$B$203,A469)</f>
        <v>0</v>
      </c>
      <c r="H469" s="4">
        <f>SUMIF(refunds!$G$2:$G$15,A469,refunds!$D$2:$D$15)</f>
        <v>0</v>
      </c>
      <c r="I469" s="4">
        <f>users[[#This Row],[paid_usd]]-users[[#This Row],[refunded_usd]]</f>
        <v>0</v>
      </c>
      <c r="J469" s="4">
        <f>IF(users[[#This Row],[successful_payments_count]]&gt;0,1,0)</f>
        <v>0</v>
      </c>
    </row>
    <row r="470" spans="1:10">
      <c r="A470">
        <v>469</v>
      </c>
      <c r="B470" s="3">
        <v>46127.122025463</v>
      </c>
      <c r="C470" t="s">
        <v>19</v>
      </c>
      <c r="D470" t="s">
        <v>4</v>
      </c>
      <c r="E470">
        <v>6</v>
      </c>
      <c r="F470" s="4">
        <f>COUNTIFS(payments!$B$2:$B$203,A470,payments!$F$2:$F$203,"succeeded")</f>
        <v>1</v>
      </c>
      <c r="G470" s="4">
        <f>SUMIFS(payments!$G$2:$G$203,payments!$F$2:$F$203,"succeeded",payments!$B$2:$B$203,A470)</f>
        <v>7.99</v>
      </c>
      <c r="H470" s="4">
        <f>SUMIF(refunds!$G$2:$G$15,A470,refunds!$D$2:$D$15)</f>
        <v>0</v>
      </c>
      <c r="I470" s="4">
        <f>users[[#This Row],[paid_usd]]-users[[#This Row],[refunded_usd]]</f>
        <v>7.99</v>
      </c>
      <c r="J470" s="4">
        <f>IF(users[[#This Row],[successful_payments_count]]&gt;0,1,0)</f>
        <v>1</v>
      </c>
    </row>
    <row r="471" spans="1:10">
      <c r="A471">
        <v>470</v>
      </c>
      <c r="B471" s="3">
        <v>46187.835150463</v>
      </c>
      <c r="C471" t="s">
        <v>14</v>
      </c>
      <c r="D471" t="s">
        <v>23</v>
      </c>
      <c r="F471" s="4">
        <f>COUNTIFS(payments!$B$2:$B$203,A471,payments!$F$2:$F$203,"succeeded")</f>
        <v>0</v>
      </c>
      <c r="G471" s="4">
        <f>SUMIFS(payments!$G$2:$G$203,payments!$F$2:$F$203,"succeeded",payments!$B$2:$B$203,A471)</f>
        <v>0</v>
      </c>
      <c r="H471" s="4">
        <f>SUMIF(refunds!$G$2:$G$15,A471,refunds!$D$2:$D$15)</f>
        <v>0</v>
      </c>
      <c r="I471" s="4">
        <f>users[[#This Row],[paid_usd]]-users[[#This Row],[refunded_usd]]</f>
        <v>0</v>
      </c>
      <c r="J471" s="4">
        <f>IF(users[[#This Row],[successful_payments_count]]&gt;0,1,0)</f>
        <v>0</v>
      </c>
    </row>
    <row r="472" spans="1:10">
      <c r="A472">
        <v>471</v>
      </c>
      <c r="B472" s="3">
        <v>46069.6561458333</v>
      </c>
      <c r="C472" t="s">
        <v>19</v>
      </c>
      <c r="D472" t="s">
        <v>23</v>
      </c>
      <c r="E472">
        <v>1</v>
      </c>
      <c r="F472" s="4">
        <f>COUNTIFS(payments!$B$2:$B$203,A472,payments!$F$2:$F$203,"succeeded")</f>
        <v>1</v>
      </c>
      <c r="G472" s="4">
        <f>SUMIFS(payments!$G$2:$G$203,payments!$F$2:$F$203,"succeeded",payments!$B$2:$B$203,A472)</f>
        <v>9.99</v>
      </c>
      <c r="H472" s="4">
        <f>SUMIF(refunds!$G$2:$G$15,A472,refunds!$D$2:$D$15)</f>
        <v>0</v>
      </c>
      <c r="I472" s="4">
        <f>users[[#This Row],[paid_usd]]-users[[#This Row],[refunded_usd]]</f>
        <v>9.99</v>
      </c>
      <c r="J472" s="4">
        <f>IF(users[[#This Row],[successful_payments_count]]&gt;0,1,0)</f>
        <v>1</v>
      </c>
    </row>
    <row r="473" spans="1:10">
      <c r="A473">
        <v>472</v>
      </c>
      <c r="B473" s="3">
        <v>46065.7618402778</v>
      </c>
      <c r="C473" t="s">
        <v>14</v>
      </c>
      <c r="D473" t="s">
        <v>4</v>
      </c>
      <c r="E473">
        <v>4</v>
      </c>
      <c r="F473" s="4">
        <f>COUNTIFS(payments!$B$2:$B$203,A473,payments!$F$2:$F$203,"succeeded")</f>
        <v>0</v>
      </c>
      <c r="G473" s="4">
        <f>SUMIFS(payments!$G$2:$G$203,payments!$F$2:$F$203,"succeeded",payments!$B$2:$B$203,A473)</f>
        <v>0</v>
      </c>
      <c r="H473" s="4">
        <f>SUMIF(refunds!$G$2:$G$15,A473,refunds!$D$2:$D$15)</f>
        <v>0</v>
      </c>
      <c r="I473" s="4">
        <f>users[[#This Row],[paid_usd]]-users[[#This Row],[refunded_usd]]</f>
        <v>0</v>
      </c>
      <c r="J473" s="4">
        <f>IF(users[[#This Row],[successful_payments_count]]&gt;0,1,0)</f>
        <v>0</v>
      </c>
    </row>
    <row r="474" spans="1:10">
      <c r="A474">
        <v>473</v>
      </c>
      <c r="B474" s="3">
        <v>46133.3823263889</v>
      </c>
      <c r="C474" t="s">
        <v>18</v>
      </c>
      <c r="D474" t="s">
        <v>22</v>
      </c>
      <c r="E474">
        <v>3</v>
      </c>
      <c r="F474" s="4">
        <f>COUNTIFS(payments!$B$2:$B$203,A474,payments!$F$2:$F$203,"succeeded")</f>
        <v>0</v>
      </c>
      <c r="G474" s="4">
        <f>SUMIFS(payments!$G$2:$G$203,payments!$F$2:$F$203,"succeeded",payments!$B$2:$B$203,A474)</f>
        <v>0</v>
      </c>
      <c r="H474" s="4">
        <f>SUMIF(refunds!$G$2:$G$15,A474,refunds!$D$2:$D$15)</f>
        <v>0</v>
      </c>
      <c r="I474" s="4">
        <f>users[[#This Row],[paid_usd]]-users[[#This Row],[refunded_usd]]</f>
        <v>0</v>
      </c>
      <c r="J474" s="4">
        <f>IF(users[[#This Row],[successful_payments_count]]&gt;0,1,0)</f>
        <v>0</v>
      </c>
    </row>
    <row r="475" spans="1:10">
      <c r="A475">
        <v>474</v>
      </c>
      <c r="B475" s="3">
        <v>46059.8386805556</v>
      </c>
      <c r="C475" t="s">
        <v>17</v>
      </c>
      <c r="D475" t="s">
        <v>4</v>
      </c>
      <c r="E475">
        <v>1</v>
      </c>
      <c r="F475" s="4">
        <f>COUNTIFS(payments!$B$2:$B$203,A475,payments!$F$2:$F$203,"succeeded")</f>
        <v>0</v>
      </c>
      <c r="G475" s="4">
        <f>SUMIFS(payments!$G$2:$G$203,payments!$F$2:$F$203,"succeeded",payments!$B$2:$B$203,A475)</f>
        <v>0</v>
      </c>
      <c r="H475" s="4">
        <f>SUMIF(refunds!$G$2:$G$15,A475,refunds!$D$2:$D$15)</f>
        <v>0</v>
      </c>
      <c r="I475" s="4">
        <f>users[[#This Row],[paid_usd]]-users[[#This Row],[refunded_usd]]</f>
        <v>0</v>
      </c>
      <c r="J475" s="4">
        <f>IF(users[[#This Row],[successful_payments_count]]&gt;0,1,0)</f>
        <v>0</v>
      </c>
    </row>
    <row r="476" spans="1:10">
      <c r="A476">
        <v>475</v>
      </c>
      <c r="B476" s="3">
        <v>46167.7774305556</v>
      </c>
      <c r="C476" t="s">
        <v>14</v>
      </c>
      <c r="D476" t="s">
        <v>23</v>
      </c>
      <c r="F476" s="4">
        <f>COUNTIFS(payments!$B$2:$B$203,A476,payments!$F$2:$F$203,"succeeded")</f>
        <v>0</v>
      </c>
      <c r="G476" s="4">
        <f>SUMIFS(payments!$G$2:$G$203,payments!$F$2:$F$203,"succeeded",payments!$B$2:$B$203,A476)</f>
        <v>0</v>
      </c>
      <c r="H476" s="4">
        <f>SUMIF(refunds!$G$2:$G$15,A476,refunds!$D$2:$D$15)</f>
        <v>0</v>
      </c>
      <c r="I476" s="4">
        <f>users[[#This Row],[paid_usd]]-users[[#This Row],[refunded_usd]]</f>
        <v>0</v>
      </c>
      <c r="J476" s="4">
        <f>IF(users[[#This Row],[successful_payments_count]]&gt;0,1,0)</f>
        <v>0</v>
      </c>
    </row>
    <row r="477" spans="1:10">
      <c r="A477">
        <v>476</v>
      </c>
      <c r="B477" s="3">
        <v>46087.8591898148</v>
      </c>
      <c r="C477" t="s">
        <v>15</v>
      </c>
      <c r="D477" t="s">
        <v>22</v>
      </c>
      <c r="E477">
        <v>3</v>
      </c>
      <c r="F477" s="4">
        <f>COUNTIFS(payments!$B$2:$B$203,A477,payments!$F$2:$F$203,"succeeded")</f>
        <v>0</v>
      </c>
      <c r="G477" s="4">
        <f>SUMIFS(payments!$G$2:$G$203,payments!$F$2:$F$203,"succeeded",payments!$B$2:$B$203,A477)</f>
        <v>0</v>
      </c>
      <c r="H477" s="4">
        <f>SUMIF(refunds!$G$2:$G$15,A477,refunds!$D$2:$D$15)</f>
        <v>0</v>
      </c>
      <c r="I477" s="4">
        <f>users[[#This Row],[paid_usd]]-users[[#This Row],[refunded_usd]]</f>
        <v>0</v>
      </c>
      <c r="J477" s="4">
        <f>IF(users[[#This Row],[successful_payments_count]]&gt;0,1,0)</f>
        <v>0</v>
      </c>
    </row>
    <row r="478" spans="1:10">
      <c r="A478">
        <v>477</v>
      </c>
      <c r="B478" s="3">
        <v>46163.2367592593</v>
      </c>
      <c r="C478" t="s">
        <v>16</v>
      </c>
      <c r="D478" t="s">
        <v>23</v>
      </c>
      <c r="E478">
        <v>4</v>
      </c>
      <c r="F478" s="4">
        <f>COUNTIFS(payments!$B$2:$B$203,A478,payments!$F$2:$F$203,"succeeded")</f>
        <v>0</v>
      </c>
      <c r="G478" s="4">
        <f>SUMIFS(payments!$G$2:$G$203,payments!$F$2:$F$203,"succeeded",payments!$B$2:$B$203,A478)</f>
        <v>0</v>
      </c>
      <c r="H478" s="4">
        <f>SUMIF(refunds!$G$2:$G$15,A478,refunds!$D$2:$D$15)</f>
        <v>0</v>
      </c>
      <c r="I478" s="4">
        <f>users[[#This Row],[paid_usd]]-users[[#This Row],[refunded_usd]]</f>
        <v>0</v>
      </c>
      <c r="J478" s="4">
        <f>IF(users[[#This Row],[successful_payments_count]]&gt;0,1,0)</f>
        <v>0</v>
      </c>
    </row>
    <row r="479" spans="1:10">
      <c r="A479">
        <v>478</v>
      </c>
      <c r="B479" s="3">
        <v>46102.7583564815</v>
      </c>
      <c r="C479" t="s">
        <v>17</v>
      </c>
      <c r="D479" t="s">
        <v>23</v>
      </c>
      <c r="E479">
        <v>3</v>
      </c>
      <c r="F479" s="4">
        <f>COUNTIFS(payments!$B$2:$B$203,A479,payments!$F$2:$F$203,"succeeded")</f>
        <v>0</v>
      </c>
      <c r="G479" s="4">
        <f>SUMIFS(payments!$G$2:$G$203,payments!$F$2:$F$203,"succeeded",payments!$B$2:$B$203,A479)</f>
        <v>0</v>
      </c>
      <c r="H479" s="4">
        <f>SUMIF(refunds!$G$2:$G$15,A479,refunds!$D$2:$D$15)</f>
        <v>0</v>
      </c>
      <c r="I479" s="4">
        <f>users[[#This Row],[paid_usd]]-users[[#This Row],[refunded_usd]]</f>
        <v>0</v>
      </c>
      <c r="J479" s="4">
        <f>IF(users[[#This Row],[successful_payments_count]]&gt;0,1,0)</f>
        <v>0</v>
      </c>
    </row>
    <row r="480" spans="1:10">
      <c r="A480">
        <v>479</v>
      </c>
      <c r="B480" s="3">
        <v>46103.7092361111</v>
      </c>
      <c r="C480" t="s">
        <v>16</v>
      </c>
      <c r="D480" t="s">
        <v>23</v>
      </c>
      <c r="E480">
        <v>3</v>
      </c>
      <c r="F480" s="4">
        <f>COUNTIFS(payments!$B$2:$B$203,A480,payments!$F$2:$F$203,"succeeded")</f>
        <v>1</v>
      </c>
      <c r="G480" s="4">
        <f>SUMIFS(payments!$G$2:$G$203,payments!$F$2:$F$203,"succeeded",payments!$B$2:$B$203,A480)</f>
        <v>7.99</v>
      </c>
      <c r="H480" s="4">
        <f>SUMIF(refunds!$G$2:$G$15,A480,refunds!$D$2:$D$15)</f>
        <v>0</v>
      </c>
      <c r="I480" s="4">
        <f>users[[#This Row],[paid_usd]]-users[[#This Row],[refunded_usd]]</f>
        <v>7.99</v>
      </c>
      <c r="J480" s="4">
        <f>IF(users[[#This Row],[successful_payments_count]]&gt;0,1,0)</f>
        <v>1</v>
      </c>
    </row>
    <row r="481" spans="1:10">
      <c r="A481">
        <v>480</v>
      </c>
      <c r="B481" s="3">
        <v>46119.1387384259</v>
      </c>
      <c r="C481" t="s">
        <v>18</v>
      </c>
      <c r="D481" t="s">
        <v>22</v>
      </c>
      <c r="E481">
        <v>3</v>
      </c>
      <c r="F481" s="4">
        <f>COUNTIFS(payments!$B$2:$B$203,A481,payments!$F$2:$F$203,"succeeded")</f>
        <v>0</v>
      </c>
      <c r="G481" s="4">
        <f>SUMIFS(payments!$G$2:$G$203,payments!$F$2:$F$203,"succeeded",payments!$B$2:$B$203,A481)</f>
        <v>0</v>
      </c>
      <c r="H481" s="4">
        <f>SUMIF(refunds!$G$2:$G$15,A481,refunds!$D$2:$D$15)</f>
        <v>0</v>
      </c>
      <c r="I481" s="4">
        <f>users[[#This Row],[paid_usd]]-users[[#This Row],[refunded_usd]]</f>
        <v>0</v>
      </c>
      <c r="J481" s="4">
        <f>IF(users[[#This Row],[successful_payments_count]]&gt;0,1,0)</f>
        <v>0</v>
      </c>
    </row>
    <row r="482" spans="1:10">
      <c r="A482">
        <v>481</v>
      </c>
      <c r="B482" s="3">
        <v>46058.5706365741</v>
      </c>
      <c r="C482" t="s">
        <v>16</v>
      </c>
      <c r="D482" t="s">
        <v>4</v>
      </c>
      <c r="E482">
        <v>5</v>
      </c>
      <c r="F482" s="4">
        <f>COUNTIFS(payments!$B$2:$B$203,A482,payments!$F$2:$F$203,"succeeded")</f>
        <v>0</v>
      </c>
      <c r="G482" s="4">
        <f>SUMIFS(payments!$G$2:$G$203,payments!$F$2:$F$203,"succeeded",payments!$B$2:$B$203,A482)</f>
        <v>0</v>
      </c>
      <c r="H482" s="4">
        <f>SUMIF(refunds!$G$2:$G$15,A482,refunds!$D$2:$D$15)</f>
        <v>0</v>
      </c>
      <c r="I482" s="4">
        <f>users[[#This Row],[paid_usd]]-users[[#This Row],[refunded_usd]]</f>
        <v>0</v>
      </c>
      <c r="J482" s="4">
        <f>IF(users[[#This Row],[successful_payments_count]]&gt;0,1,0)</f>
        <v>0</v>
      </c>
    </row>
    <row r="483" spans="1:10">
      <c r="A483">
        <v>482</v>
      </c>
      <c r="B483" s="3">
        <v>46071.6086111111</v>
      </c>
      <c r="C483" t="s">
        <v>19</v>
      </c>
      <c r="D483" t="s">
        <v>4</v>
      </c>
      <c r="F483" s="4">
        <f>COUNTIFS(payments!$B$2:$B$203,A483,payments!$F$2:$F$203,"succeeded")</f>
        <v>1</v>
      </c>
      <c r="G483" s="4">
        <f>SUMIFS(payments!$G$2:$G$203,payments!$F$2:$F$203,"succeeded",payments!$B$2:$B$203,A483)</f>
        <v>9.99</v>
      </c>
      <c r="H483" s="4">
        <f>SUMIF(refunds!$G$2:$G$15,A483,refunds!$D$2:$D$15)</f>
        <v>0</v>
      </c>
      <c r="I483" s="4">
        <f>users[[#This Row],[paid_usd]]-users[[#This Row],[refunded_usd]]</f>
        <v>9.99</v>
      </c>
      <c r="J483" s="4">
        <f>IF(users[[#This Row],[successful_payments_count]]&gt;0,1,0)</f>
        <v>1</v>
      </c>
    </row>
    <row r="484" spans="1:10">
      <c r="A484">
        <v>483</v>
      </c>
      <c r="B484" s="3">
        <v>46134.0063657407</v>
      </c>
      <c r="C484" t="s">
        <v>14</v>
      </c>
      <c r="D484" t="s">
        <v>23</v>
      </c>
      <c r="E484">
        <v>3</v>
      </c>
      <c r="F484" s="4">
        <f>COUNTIFS(payments!$B$2:$B$203,A484,payments!$F$2:$F$203,"succeeded")</f>
        <v>0</v>
      </c>
      <c r="G484" s="4">
        <f>SUMIFS(payments!$G$2:$G$203,payments!$F$2:$F$203,"succeeded",payments!$B$2:$B$203,A484)</f>
        <v>0</v>
      </c>
      <c r="H484" s="4">
        <f>SUMIF(refunds!$G$2:$G$15,A484,refunds!$D$2:$D$15)</f>
        <v>0</v>
      </c>
      <c r="I484" s="4">
        <f>users[[#This Row],[paid_usd]]-users[[#This Row],[refunded_usd]]</f>
        <v>0</v>
      </c>
      <c r="J484" s="4">
        <f>IF(users[[#This Row],[successful_payments_count]]&gt;0,1,0)</f>
        <v>0</v>
      </c>
    </row>
    <row r="485" spans="1:10">
      <c r="A485">
        <v>484</v>
      </c>
      <c r="B485" s="3">
        <v>46054.1645486111</v>
      </c>
      <c r="C485" t="s">
        <v>15</v>
      </c>
      <c r="D485" t="s">
        <v>22</v>
      </c>
      <c r="F485" s="4">
        <f>COUNTIFS(payments!$B$2:$B$203,A485,payments!$F$2:$F$203,"succeeded")</f>
        <v>0</v>
      </c>
      <c r="G485" s="4">
        <f>SUMIFS(payments!$G$2:$G$203,payments!$F$2:$F$203,"succeeded",payments!$B$2:$B$203,A485)</f>
        <v>0</v>
      </c>
      <c r="H485" s="4">
        <f>SUMIF(refunds!$G$2:$G$15,A485,refunds!$D$2:$D$15)</f>
        <v>0</v>
      </c>
      <c r="I485" s="4">
        <f>users[[#This Row],[paid_usd]]-users[[#This Row],[refunded_usd]]</f>
        <v>0</v>
      </c>
      <c r="J485" s="4">
        <f>IF(users[[#This Row],[successful_payments_count]]&gt;0,1,0)</f>
        <v>0</v>
      </c>
    </row>
    <row r="486" spans="1:10">
      <c r="A486">
        <v>485</v>
      </c>
      <c r="B486" s="3">
        <v>46154.5137962963</v>
      </c>
      <c r="C486" t="s">
        <v>14</v>
      </c>
      <c r="D486" t="s">
        <v>23</v>
      </c>
      <c r="E486">
        <v>6</v>
      </c>
      <c r="F486" s="4">
        <f>COUNTIFS(payments!$B$2:$B$203,A486,payments!$F$2:$F$203,"succeeded")</f>
        <v>0</v>
      </c>
      <c r="G486" s="4">
        <f>SUMIFS(payments!$G$2:$G$203,payments!$F$2:$F$203,"succeeded",payments!$B$2:$B$203,A486)</f>
        <v>0</v>
      </c>
      <c r="H486" s="4">
        <f>SUMIF(refunds!$G$2:$G$15,A486,refunds!$D$2:$D$15)</f>
        <v>0</v>
      </c>
      <c r="I486" s="4">
        <f>users[[#This Row],[paid_usd]]-users[[#This Row],[refunded_usd]]</f>
        <v>0</v>
      </c>
      <c r="J486" s="4">
        <f>IF(users[[#This Row],[successful_payments_count]]&gt;0,1,0)</f>
        <v>0</v>
      </c>
    </row>
    <row r="487" spans="1:10">
      <c r="A487">
        <v>486</v>
      </c>
      <c r="B487" s="3">
        <v>46165.6344328704</v>
      </c>
      <c r="C487" t="s">
        <v>14</v>
      </c>
      <c r="D487" t="s">
        <v>23</v>
      </c>
      <c r="E487">
        <v>2</v>
      </c>
      <c r="F487" s="4">
        <f>COUNTIFS(payments!$B$2:$B$203,A487,payments!$F$2:$F$203,"succeeded")</f>
        <v>0</v>
      </c>
      <c r="G487" s="4">
        <f>SUMIFS(payments!$G$2:$G$203,payments!$F$2:$F$203,"succeeded",payments!$B$2:$B$203,A487)</f>
        <v>0</v>
      </c>
      <c r="H487" s="4">
        <f>SUMIF(refunds!$G$2:$G$15,A487,refunds!$D$2:$D$15)</f>
        <v>0</v>
      </c>
      <c r="I487" s="4">
        <f>users[[#This Row],[paid_usd]]-users[[#This Row],[refunded_usd]]</f>
        <v>0</v>
      </c>
      <c r="J487" s="4">
        <f>IF(users[[#This Row],[successful_payments_count]]&gt;0,1,0)</f>
        <v>0</v>
      </c>
    </row>
    <row r="488" spans="1:10">
      <c r="A488">
        <v>487</v>
      </c>
      <c r="B488" s="3">
        <v>46183.881412037</v>
      </c>
      <c r="C488" t="s">
        <v>19</v>
      </c>
      <c r="D488" t="s">
        <v>4</v>
      </c>
      <c r="E488">
        <v>4</v>
      </c>
      <c r="F488" s="4">
        <f>COUNTIFS(payments!$B$2:$B$203,A488,payments!$F$2:$F$203,"succeeded")</f>
        <v>1</v>
      </c>
      <c r="G488" s="4">
        <f>SUMIFS(payments!$G$2:$G$203,payments!$F$2:$F$203,"succeeded",payments!$B$2:$B$203,A488)</f>
        <v>4.99</v>
      </c>
      <c r="H488" s="4">
        <f>SUMIF(refunds!$G$2:$G$15,A488,refunds!$D$2:$D$15)</f>
        <v>0</v>
      </c>
      <c r="I488" s="4">
        <f>users[[#This Row],[paid_usd]]-users[[#This Row],[refunded_usd]]</f>
        <v>4.99</v>
      </c>
      <c r="J488" s="4">
        <f>IF(users[[#This Row],[successful_payments_count]]&gt;0,1,0)</f>
        <v>1</v>
      </c>
    </row>
    <row r="489" spans="1:10">
      <c r="A489">
        <v>488</v>
      </c>
      <c r="B489" s="3">
        <v>46170.221099537</v>
      </c>
      <c r="C489" t="s">
        <v>16</v>
      </c>
      <c r="D489" t="s">
        <v>4</v>
      </c>
      <c r="E489">
        <v>7</v>
      </c>
      <c r="F489" s="4">
        <f>COUNTIFS(payments!$B$2:$B$203,A489,payments!$F$2:$F$203,"succeeded")</f>
        <v>0</v>
      </c>
      <c r="G489" s="4">
        <f>SUMIFS(payments!$G$2:$G$203,payments!$F$2:$F$203,"succeeded",payments!$B$2:$B$203,A489)</f>
        <v>0</v>
      </c>
      <c r="H489" s="4">
        <f>SUMIF(refunds!$G$2:$G$15,A489,refunds!$D$2:$D$15)</f>
        <v>0</v>
      </c>
      <c r="I489" s="4">
        <f>users[[#This Row],[paid_usd]]-users[[#This Row],[refunded_usd]]</f>
        <v>0</v>
      </c>
      <c r="J489" s="4">
        <f>IF(users[[#This Row],[successful_payments_count]]&gt;0,1,0)</f>
        <v>0</v>
      </c>
    </row>
    <row r="490" spans="1:10">
      <c r="A490">
        <v>489</v>
      </c>
      <c r="B490" s="3">
        <v>46137.8557291667</v>
      </c>
      <c r="C490" t="s">
        <v>18</v>
      </c>
      <c r="D490" t="s">
        <v>23</v>
      </c>
      <c r="E490">
        <v>5</v>
      </c>
      <c r="F490" s="4">
        <f>COUNTIFS(payments!$B$2:$B$203,A490,payments!$F$2:$F$203,"succeeded")</f>
        <v>1</v>
      </c>
      <c r="G490" s="4">
        <f>SUMIFS(payments!$G$2:$G$203,payments!$F$2:$F$203,"succeeded",payments!$B$2:$B$203,A490)</f>
        <v>9.99</v>
      </c>
      <c r="H490" s="4">
        <f>SUMIF(refunds!$G$2:$G$15,A490,refunds!$D$2:$D$15)</f>
        <v>0</v>
      </c>
      <c r="I490" s="4">
        <f>users[[#This Row],[paid_usd]]-users[[#This Row],[refunded_usd]]</f>
        <v>9.99</v>
      </c>
      <c r="J490" s="4">
        <f>IF(users[[#This Row],[successful_payments_count]]&gt;0,1,0)</f>
        <v>1</v>
      </c>
    </row>
    <row r="491" spans="1:10">
      <c r="A491">
        <v>490</v>
      </c>
      <c r="B491" s="3">
        <v>46025.1654513889</v>
      </c>
      <c r="C491" t="s">
        <v>15</v>
      </c>
      <c r="D491" t="s">
        <v>4</v>
      </c>
      <c r="E491">
        <v>4</v>
      </c>
      <c r="F491" s="4">
        <f>COUNTIFS(payments!$B$2:$B$203,A491,payments!$F$2:$F$203,"succeeded")</f>
        <v>0</v>
      </c>
      <c r="G491" s="4">
        <f>SUMIFS(payments!$G$2:$G$203,payments!$F$2:$F$203,"succeeded",payments!$B$2:$B$203,A491)</f>
        <v>0</v>
      </c>
      <c r="H491" s="4">
        <f>SUMIF(refunds!$G$2:$G$15,A491,refunds!$D$2:$D$15)</f>
        <v>0</v>
      </c>
      <c r="I491" s="4">
        <f>users[[#This Row],[paid_usd]]-users[[#This Row],[refunded_usd]]</f>
        <v>0</v>
      </c>
      <c r="J491" s="4">
        <f>IF(users[[#This Row],[successful_payments_count]]&gt;0,1,0)</f>
        <v>0</v>
      </c>
    </row>
    <row r="492" spans="1:10">
      <c r="A492">
        <v>491</v>
      </c>
      <c r="B492" s="3">
        <v>46128.5433912037</v>
      </c>
      <c r="C492" t="s">
        <v>19</v>
      </c>
      <c r="D492" t="s">
        <v>22</v>
      </c>
      <c r="E492">
        <v>3</v>
      </c>
      <c r="F492" s="4">
        <f>COUNTIFS(payments!$B$2:$B$203,A492,payments!$F$2:$F$203,"succeeded")</f>
        <v>1</v>
      </c>
      <c r="G492" s="4">
        <f>SUMIFS(payments!$G$2:$G$203,payments!$F$2:$F$203,"succeeded",payments!$B$2:$B$203,A492)</f>
        <v>9.99</v>
      </c>
      <c r="H492" s="4">
        <f>SUMIF(refunds!$G$2:$G$15,A492,refunds!$D$2:$D$15)</f>
        <v>0</v>
      </c>
      <c r="I492" s="4">
        <f>users[[#This Row],[paid_usd]]-users[[#This Row],[refunded_usd]]</f>
        <v>9.99</v>
      </c>
      <c r="J492" s="4">
        <f>IF(users[[#This Row],[successful_payments_count]]&gt;0,1,0)</f>
        <v>1</v>
      </c>
    </row>
    <row r="493" spans="1:10">
      <c r="A493">
        <v>492</v>
      </c>
      <c r="B493" s="3">
        <v>46073.9702893519</v>
      </c>
      <c r="C493" t="s">
        <v>14</v>
      </c>
      <c r="D493" t="s">
        <v>22</v>
      </c>
      <c r="F493" s="4">
        <f>COUNTIFS(payments!$B$2:$B$203,A493,payments!$F$2:$F$203,"succeeded")</f>
        <v>0</v>
      </c>
      <c r="G493" s="4">
        <f>SUMIFS(payments!$G$2:$G$203,payments!$F$2:$F$203,"succeeded",payments!$B$2:$B$203,A493)</f>
        <v>0</v>
      </c>
      <c r="H493" s="4">
        <f>SUMIF(refunds!$G$2:$G$15,A493,refunds!$D$2:$D$15)</f>
        <v>0</v>
      </c>
      <c r="I493" s="4">
        <f>users[[#This Row],[paid_usd]]-users[[#This Row],[refunded_usd]]</f>
        <v>0</v>
      </c>
      <c r="J493" s="4">
        <f>IF(users[[#This Row],[successful_payments_count]]&gt;0,1,0)</f>
        <v>0</v>
      </c>
    </row>
    <row r="494" spans="1:10">
      <c r="A494">
        <v>493</v>
      </c>
      <c r="B494" s="3">
        <v>46143.1992939815</v>
      </c>
      <c r="C494" t="s">
        <v>19</v>
      </c>
      <c r="D494" t="s">
        <v>22</v>
      </c>
      <c r="E494">
        <v>5</v>
      </c>
      <c r="F494" s="4">
        <f>COUNTIFS(payments!$B$2:$B$203,A494,payments!$F$2:$F$203,"succeeded")</f>
        <v>1</v>
      </c>
      <c r="G494" s="4">
        <f>SUMIFS(payments!$G$2:$G$203,payments!$F$2:$F$203,"succeeded",payments!$B$2:$B$203,A494)</f>
        <v>4.99</v>
      </c>
      <c r="H494" s="4">
        <f>SUMIF(refunds!$G$2:$G$15,A494,refunds!$D$2:$D$15)</f>
        <v>0</v>
      </c>
      <c r="I494" s="4">
        <f>users[[#This Row],[paid_usd]]-users[[#This Row],[refunded_usd]]</f>
        <v>4.99</v>
      </c>
      <c r="J494" s="4">
        <f>IF(users[[#This Row],[successful_payments_count]]&gt;0,1,0)</f>
        <v>1</v>
      </c>
    </row>
    <row r="495" spans="1:10">
      <c r="A495">
        <v>494</v>
      </c>
      <c r="B495" s="3">
        <v>46068.2444444444</v>
      </c>
      <c r="C495" t="s">
        <v>19</v>
      </c>
      <c r="D495" t="s">
        <v>22</v>
      </c>
      <c r="E495">
        <v>5</v>
      </c>
      <c r="F495" s="4">
        <f>COUNTIFS(payments!$B$2:$B$203,A495,payments!$F$2:$F$203,"succeeded")</f>
        <v>0</v>
      </c>
      <c r="G495" s="4">
        <f>SUMIFS(payments!$G$2:$G$203,payments!$F$2:$F$203,"succeeded",payments!$B$2:$B$203,A495)</f>
        <v>0</v>
      </c>
      <c r="H495" s="4">
        <f>SUMIF(refunds!$G$2:$G$15,A495,refunds!$D$2:$D$15)</f>
        <v>0</v>
      </c>
      <c r="I495" s="4">
        <f>users[[#This Row],[paid_usd]]-users[[#This Row],[refunded_usd]]</f>
        <v>0</v>
      </c>
      <c r="J495" s="4">
        <f>IF(users[[#This Row],[successful_payments_count]]&gt;0,1,0)</f>
        <v>0</v>
      </c>
    </row>
    <row r="496" spans="1:10">
      <c r="A496">
        <v>495</v>
      </c>
      <c r="B496" s="3">
        <v>46076.4805208333</v>
      </c>
      <c r="C496" t="s">
        <v>18</v>
      </c>
      <c r="D496" t="s">
        <v>22</v>
      </c>
      <c r="E496">
        <v>3</v>
      </c>
      <c r="F496" s="4">
        <f>COUNTIFS(payments!$B$2:$B$203,A496,payments!$F$2:$F$203,"succeeded")</f>
        <v>0</v>
      </c>
      <c r="G496" s="4">
        <f>SUMIFS(payments!$G$2:$G$203,payments!$F$2:$F$203,"succeeded",payments!$B$2:$B$203,A496)</f>
        <v>0</v>
      </c>
      <c r="H496" s="4">
        <f>SUMIF(refunds!$G$2:$G$15,A496,refunds!$D$2:$D$15)</f>
        <v>0</v>
      </c>
      <c r="I496" s="4">
        <f>users[[#This Row],[paid_usd]]-users[[#This Row],[refunded_usd]]</f>
        <v>0</v>
      </c>
      <c r="J496" s="4">
        <f>IF(users[[#This Row],[successful_payments_count]]&gt;0,1,0)</f>
        <v>0</v>
      </c>
    </row>
    <row r="497" spans="1:10">
      <c r="A497">
        <v>496</v>
      </c>
      <c r="B497" s="3">
        <v>46040.1957407407</v>
      </c>
      <c r="C497" t="s">
        <v>18</v>
      </c>
      <c r="D497" t="s">
        <v>4</v>
      </c>
      <c r="E497">
        <v>1</v>
      </c>
      <c r="F497" s="4">
        <f>COUNTIFS(payments!$B$2:$B$203,A497,payments!$F$2:$F$203,"succeeded")</f>
        <v>0</v>
      </c>
      <c r="G497" s="4">
        <f>SUMIFS(payments!$G$2:$G$203,payments!$F$2:$F$203,"succeeded",payments!$B$2:$B$203,A497)</f>
        <v>0</v>
      </c>
      <c r="H497" s="4">
        <f>SUMIF(refunds!$G$2:$G$15,A497,refunds!$D$2:$D$15)</f>
        <v>0</v>
      </c>
      <c r="I497" s="4">
        <f>users[[#This Row],[paid_usd]]-users[[#This Row],[refunded_usd]]</f>
        <v>0</v>
      </c>
      <c r="J497" s="4">
        <f>IF(users[[#This Row],[successful_payments_count]]&gt;0,1,0)</f>
        <v>0</v>
      </c>
    </row>
    <row r="498" spans="1:10">
      <c r="A498">
        <v>497</v>
      </c>
      <c r="B498" s="3">
        <v>46181.7547222222</v>
      </c>
      <c r="C498" t="s">
        <v>19</v>
      </c>
      <c r="D498" t="s">
        <v>4</v>
      </c>
      <c r="E498">
        <v>6</v>
      </c>
      <c r="F498" s="4">
        <f>COUNTIFS(payments!$B$2:$B$203,A498,payments!$F$2:$F$203,"succeeded")</f>
        <v>0</v>
      </c>
      <c r="G498" s="4">
        <f>SUMIFS(payments!$G$2:$G$203,payments!$F$2:$F$203,"succeeded",payments!$B$2:$B$203,A498)</f>
        <v>0</v>
      </c>
      <c r="H498" s="4">
        <f>SUMIF(refunds!$G$2:$G$15,A498,refunds!$D$2:$D$15)</f>
        <v>0</v>
      </c>
      <c r="I498" s="4">
        <f>users[[#This Row],[paid_usd]]-users[[#This Row],[refunded_usd]]</f>
        <v>0</v>
      </c>
      <c r="J498" s="4">
        <f>IF(users[[#This Row],[successful_payments_count]]&gt;0,1,0)</f>
        <v>0</v>
      </c>
    </row>
    <row r="499" spans="1:10">
      <c r="A499">
        <v>498</v>
      </c>
      <c r="B499" s="3">
        <v>46184.5395023148</v>
      </c>
      <c r="C499" t="s">
        <v>16</v>
      </c>
      <c r="D499" t="s">
        <v>4</v>
      </c>
      <c r="E499">
        <v>4</v>
      </c>
      <c r="F499" s="4">
        <f>COUNTIFS(payments!$B$2:$B$203,A499,payments!$F$2:$F$203,"succeeded")</f>
        <v>0</v>
      </c>
      <c r="G499" s="4">
        <f>SUMIFS(payments!$G$2:$G$203,payments!$F$2:$F$203,"succeeded",payments!$B$2:$B$203,A499)</f>
        <v>0</v>
      </c>
      <c r="H499" s="4">
        <f>SUMIF(refunds!$G$2:$G$15,A499,refunds!$D$2:$D$15)</f>
        <v>0</v>
      </c>
      <c r="I499" s="4">
        <f>users[[#This Row],[paid_usd]]-users[[#This Row],[refunded_usd]]</f>
        <v>0</v>
      </c>
      <c r="J499" s="4">
        <f>IF(users[[#This Row],[successful_payments_count]]&gt;0,1,0)</f>
        <v>0</v>
      </c>
    </row>
    <row r="500" spans="1:10">
      <c r="A500">
        <v>499</v>
      </c>
      <c r="B500" s="3">
        <v>46122.4328356481</v>
      </c>
      <c r="C500" t="s">
        <v>17</v>
      </c>
      <c r="D500" t="s">
        <v>4</v>
      </c>
      <c r="E500">
        <v>2</v>
      </c>
      <c r="F500" s="4">
        <f>COUNTIFS(payments!$B$2:$B$203,A500,payments!$F$2:$F$203,"succeeded")</f>
        <v>1</v>
      </c>
      <c r="G500" s="4">
        <f>SUMIFS(payments!$G$2:$G$203,payments!$F$2:$F$203,"succeeded",payments!$B$2:$B$203,A500)</f>
        <v>19.99</v>
      </c>
      <c r="H500" s="4">
        <f>SUMIF(refunds!$G$2:$G$15,A500,refunds!$D$2:$D$15)</f>
        <v>0</v>
      </c>
      <c r="I500" s="4">
        <f>users[[#This Row],[paid_usd]]-users[[#This Row],[refunded_usd]]</f>
        <v>19.99</v>
      </c>
      <c r="J500" s="4">
        <f>IF(users[[#This Row],[successful_payments_count]]&gt;0,1,0)</f>
        <v>1</v>
      </c>
    </row>
    <row r="501" spans="1:10">
      <c r="A501">
        <v>500</v>
      </c>
      <c r="B501" s="3">
        <v>46102.0114236111</v>
      </c>
      <c r="C501" t="s">
        <v>17</v>
      </c>
      <c r="D501" t="s">
        <v>23</v>
      </c>
      <c r="E501">
        <v>1</v>
      </c>
      <c r="F501" s="4">
        <f>COUNTIFS(payments!$B$2:$B$203,A501,payments!$F$2:$F$203,"succeeded")</f>
        <v>1</v>
      </c>
      <c r="G501" s="4">
        <f>SUMIFS(payments!$G$2:$G$203,payments!$F$2:$F$203,"succeeded",payments!$B$2:$B$203,A501)</f>
        <v>4.99</v>
      </c>
      <c r="H501" s="4">
        <f>SUMIF(refunds!$G$2:$G$15,A501,refunds!$D$2:$D$15)</f>
        <v>0</v>
      </c>
      <c r="I501" s="4">
        <f>users[[#This Row],[paid_usd]]-users[[#This Row],[refunded_usd]]</f>
        <v>4.99</v>
      </c>
      <c r="J501" s="4">
        <f>IF(users[[#This Row],[successful_payments_count]]&gt;0,1,0)</f>
        <v>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3"/>
  <sheetViews>
    <sheetView zoomScale="85" zoomScaleNormal="85" topLeftCell="K1" workbookViewId="0">
      <selection activeCell="Q4" sqref="Q4"/>
    </sheetView>
  </sheetViews>
  <sheetFormatPr defaultColWidth="8.88888888888889" defaultRowHeight="14.4"/>
  <cols>
    <col min="1" max="8" width="19.3333333333333" customWidth="1"/>
    <col min="9" max="16" width="21.25" customWidth="1"/>
  </cols>
  <sheetData>
    <row r="1" spans="1:17">
      <c r="A1" t="s">
        <v>44</v>
      </c>
      <c r="B1" t="s">
        <v>36</v>
      </c>
      <c r="C1" t="s">
        <v>45</v>
      </c>
      <c r="D1" t="s">
        <v>46</v>
      </c>
      <c r="E1" t="s">
        <v>47</v>
      </c>
      <c r="F1" t="s">
        <v>24</v>
      </c>
      <c r="G1" t="s">
        <v>48</v>
      </c>
      <c r="H1" t="s">
        <v>49</v>
      </c>
      <c r="I1" t="s">
        <v>5</v>
      </c>
      <c r="J1" t="s">
        <v>3</v>
      </c>
      <c r="K1" t="s">
        <v>50</v>
      </c>
      <c r="L1" t="s">
        <v>51</v>
      </c>
      <c r="M1" t="s">
        <v>40</v>
      </c>
      <c r="N1" t="s">
        <v>52</v>
      </c>
      <c r="O1" t="s">
        <v>53</v>
      </c>
      <c r="P1" t="s">
        <v>54</v>
      </c>
      <c r="Q1" t="s">
        <v>26</v>
      </c>
    </row>
    <row r="2" spans="1:17">
      <c r="A2">
        <v>188</v>
      </c>
      <c r="B2">
        <v>1</v>
      </c>
      <c r="C2">
        <v>1</v>
      </c>
      <c r="D2" s="3">
        <v>46203.9993055556</v>
      </c>
      <c r="F2" t="s">
        <v>55</v>
      </c>
      <c r="G2">
        <v>4.99</v>
      </c>
      <c r="H2">
        <v>0</v>
      </c>
      <c r="I2" s="4" t="str">
        <f>_xlfn.XLOOKUP(B2,users!A:A,users!C:C)</f>
        <v>BR</v>
      </c>
      <c r="J2" s="4" t="str">
        <f>_xlfn.XLOOKUP(B2,users!A:A,users!D:D)</f>
        <v>desktop</v>
      </c>
      <c r="K2" s="4" t="str">
        <f>_xlfn.XLOOKUP(C2,coin_packages!A:A,coin_packages!B:B)</f>
        <v>Small</v>
      </c>
      <c r="L2" s="4" t="str">
        <f t="array" ref="L2">INDEX(coin_packages!$B$2:$B$5,MATCH(C2,coin_packages!$A$2:$A$5,0))</f>
        <v>Small</v>
      </c>
      <c r="M2" s="4">
        <f t="shared" ref="M2:M65" si="0">IF(F2="succeeded",G2,0)</f>
        <v>0</v>
      </c>
      <c r="N2" s="4" t="b">
        <f t="shared" ref="N2:N65" si="1">AND(F2="succeeded",I2="US",OR(J2="tablet",J2="mobile"))</f>
        <v>0</v>
      </c>
      <c r="O2" s="4" t="b">
        <f>COUNTIF(refunds!$B$2:$B$15,A2)&gt;0</f>
        <v>0</v>
      </c>
      <c r="P2" s="4">
        <f>_xlfn.XLOOKUP(A2,refunds!$B$2:$B$15,refunds!$D$2:$D$15,0,0)</f>
        <v>0</v>
      </c>
      <c r="Q2" s="4" t="str">
        <f>IF(OR(payments[[#This Row],[completed_at]]="",payments[[#This Row],[completed_at]]=0),"",TEXT(payments[[#This Row],[completed_at]],"yyyy-mm"))</f>
        <v/>
      </c>
    </row>
    <row r="3" spans="1:17">
      <c r="A3" s="5">
        <v>1</v>
      </c>
      <c r="B3">
        <v>1</v>
      </c>
      <c r="C3">
        <v>2</v>
      </c>
      <c r="D3" s="3">
        <v>46176.1647222222</v>
      </c>
      <c r="E3" s="3">
        <v>46176.164837963</v>
      </c>
      <c r="F3" t="s">
        <v>25</v>
      </c>
      <c r="G3">
        <v>9.99</v>
      </c>
      <c r="H3">
        <v>250</v>
      </c>
      <c r="I3" s="4" t="str">
        <f>_xlfn.XLOOKUP(B3,users!A:A,users!C:C)</f>
        <v>BR</v>
      </c>
      <c r="J3" s="4" t="str">
        <f>_xlfn.XLOOKUP(B3,users!A:A,users!D:D)</f>
        <v>desktop</v>
      </c>
      <c r="K3" s="4" t="str">
        <f>_xlfn.XLOOKUP(C3,coin_packages!A:A,coin_packages!B:B)</f>
        <v>Medium</v>
      </c>
      <c r="L3" s="4" t="str">
        <f t="array" ref="L3">INDEX(coin_packages!$B$2:$B$5,MATCH(C3,coin_packages!$A$2:$A$5,0))</f>
        <v>Medium</v>
      </c>
      <c r="M3" s="4">
        <f t="shared" si="0"/>
        <v>9.99</v>
      </c>
      <c r="N3" s="4" t="b">
        <f t="shared" si="1"/>
        <v>0</v>
      </c>
      <c r="O3" s="4" t="b">
        <f>COUNTIF(refunds!$B$2:$B$15,A3)&gt;0</f>
        <v>0</v>
      </c>
      <c r="P3" s="4">
        <f>_xlfn.XLOOKUP(A3,refunds!$B$2:$B$15,refunds!$D$2:$D$15,0,0)</f>
        <v>0</v>
      </c>
      <c r="Q3" s="4" t="str">
        <f>IF(OR(payments[[#This Row],[completed_at]]="",payments[[#This Row],[completed_at]]=0),"",TEXT(payments[[#This Row],[completed_at]],"yyyy-mm"))</f>
        <v>2026-06</v>
      </c>
    </row>
    <row r="4" spans="1:17">
      <c r="A4">
        <v>189</v>
      </c>
      <c r="B4">
        <v>2</v>
      </c>
      <c r="C4">
        <v>1</v>
      </c>
      <c r="D4" s="3">
        <v>46203.9993055556</v>
      </c>
      <c r="F4" t="s">
        <v>55</v>
      </c>
      <c r="G4">
        <v>4.99</v>
      </c>
      <c r="H4">
        <v>0</v>
      </c>
      <c r="I4" s="4" t="str">
        <f>_xlfn.XLOOKUP(B4,users!A:A,users!C:C)</f>
        <v>US</v>
      </c>
      <c r="J4" s="4" t="str">
        <f>_xlfn.XLOOKUP(B4,users!A:A,users!D:D)</f>
        <v>tablet</v>
      </c>
      <c r="K4" s="4" t="str">
        <f>_xlfn.XLOOKUP(C4,coin_packages!A:A,coin_packages!B:B)</f>
        <v>Small</v>
      </c>
      <c r="L4" s="4" t="str">
        <f t="array" ref="L4">INDEX(coin_packages!$B$2:$B$5,MATCH(C4,coin_packages!$A$2:$A$5,0))</f>
        <v>Small</v>
      </c>
      <c r="M4" s="4">
        <f t="shared" si="0"/>
        <v>0</v>
      </c>
      <c r="N4" s="4" t="b">
        <f t="shared" si="1"/>
        <v>0</v>
      </c>
      <c r="O4" s="4" t="b">
        <f>COUNTIF(refunds!$B$2:$B$15,A4)&gt;0</f>
        <v>0</v>
      </c>
      <c r="P4" s="4">
        <f>_xlfn.XLOOKUP(A4,refunds!$B$2:$B$15,refunds!$D$2:$D$15,0,0)</f>
        <v>0</v>
      </c>
      <c r="Q4" s="4" t="str">
        <f>IF(OR(payments[[#This Row],[completed_at]]="",payments[[#This Row],[completed_at]]=0),"",TEXT(payments[[#This Row],[completed_at]],"yyyy-mm"))</f>
        <v/>
      </c>
    </row>
    <row r="5" spans="1:17">
      <c r="A5">
        <v>190</v>
      </c>
      <c r="B5">
        <v>3</v>
      </c>
      <c r="C5">
        <v>1</v>
      </c>
      <c r="D5" s="3">
        <v>46203.9993055556</v>
      </c>
      <c r="F5" t="s">
        <v>55</v>
      </c>
      <c r="G5">
        <v>4.99</v>
      </c>
      <c r="H5">
        <v>0</v>
      </c>
      <c r="I5" s="4" t="str">
        <f>_xlfn.XLOOKUP(B5,users!A:A,users!C:C)</f>
        <v>CA</v>
      </c>
      <c r="J5" s="4" t="str">
        <f>_xlfn.XLOOKUP(B5,users!A:A,users!D:D)</f>
        <v>mobile</v>
      </c>
      <c r="K5" s="4" t="str">
        <f>_xlfn.XLOOKUP(C5,coin_packages!A:A,coin_packages!B:B)</f>
        <v>Small</v>
      </c>
      <c r="L5" s="4" t="str">
        <f t="array" ref="L5">INDEX(coin_packages!$B$2:$B$5,MATCH(C5,coin_packages!$A$2:$A$5,0))</f>
        <v>Small</v>
      </c>
      <c r="M5" s="4">
        <f t="shared" si="0"/>
        <v>0</v>
      </c>
      <c r="N5" s="4" t="b">
        <f t="shared" si="1"/>
        <v>0</v>
      </c>
      <c r="O5" s="4" t="b">
        <f>COUNTIF(refunds!$B$2:$B$15,A5)&gt;0</f>
        <v>0</v>
      </c>
      <c r="P5" s="4">
        <f>_xlfn.XLOOKUP(A5,refunds!$B$2:$B$15,refunds!$D$2:$D$15,0,0)</f>
        <v>0</v>
      </c>
      <c r="Q5" s="4" t="str">
        <f>IF(OR(payments[[#This Row],[completed_at]]="",payments[[#This Row],[completed_at]]=0),"",TEXT(payments[[#This Row],[completed_at]],"yyyy-mm"))</f>
        <v/>
      </c>
    </row>
    <row r="6" spans="1:17">
      <c r="A6">
        <v>191</v>
      </c>
      <c r="B6">
        <v>4</v>
      </c>
      <c r="C6">
        <v>1</v>
      </c>
      <c r="D6" s="3">
        <v>46203.9993055556</v>
      </c>
      <c r="F6" t="s">
        <v>55</v>
      </c>
      <c r="G6">
        <v>4.99</v>
      </c>
      <c r="H6">
        <v>0</v>
      </c>
      <c r="I6" s="4" t="str">
        <f>_xlfn.XLOOKUP(B6,users!A:A,users!C:C)</f>
        <v>DE</v>
      </c>
      <c r="J6" s="4" t="str">
        <f>_xlfn.XLOOKUP(B6,users!A:A,users!D:D)</f>
        <v>mobile</v>
      </c>
      <c r="K6" s="4" t="str">
        <f>_xlfn.XLOOKUP(C6,coin_packages!A:A,coin_packages!B:B)</f>
        <v>Small</v>
      </c>
      <c r="L6" s="4" t="str">
        <f t="array" ref="L6">INDEX(coin_packages!$B$2:$B$5,MATCH(C6,coin_packages!$A$2:$A$5,0))</f>
        <v>Small</v>
      </c>
      <c r="M6" s="4">
        <f t="shared" si="0"/>
        <v>0</v>
      </c>
      <c r="N6" s="4" t="b">
        <f t="shared" si="1"/>
        <v>0</v>
      </c>
      <c r="O6" s="4" t="b">
        <f>COUNTIF(refunds!$B$2:$B$15,A6)&gt;0</f>
        <v>0</v>
      </c>
      <c r="P6" s="4">
        <f>_xlfn.XLOOKUP(A6,refunds!$B$2:$B$15,refunds!$D$2:$D$15,0,0)</f>
        <v>0</v>
      </c>
      <c r="Q6" s="4" t="str">
        <f>IF(OR(payments[[#This Row],[completed_at]]="",payments[[#This Row],[completed_at]]=0),"",TEXT(payments[[#This Row],[completed_at]],"yyyy-mm"))</f>
        <v/>
      </c>
    </row>
    <row r="7" spans="1:17">
      <c r="A7">
        <v>192</v>
      </c>
      <c r="B7">
        <v>5</v>
      </c>
      <c r="C7">
        <v>1</v>
      </c>
      <c r="D7" s="3">
        <v>46203.9993055556</v>
      </c>
      <c r="F7" t="s">
        <v>55</v>
      </c>
      <c r="G7">
        <v>4.99</v>
      </c>
      <c r="H7">
        <v>0</v>
      </c>
      <c r="I7" s="4" t="str">
        <f>_xlfn.XLOOKUP(B7,users!A:A,users!C:C)</f>
        <v>CA</v>
      </c>
      <c r="J7" s="4" t="str">
        <f>_xlfn.XLOOKUP(B7,users!A:A,users!D:D)</f>
        <v>mobile</v>
      </c>
      <c r="K7" s="4" t="str">
        <f>_xlfn.XLOOKUP(C7,coin_packages!A:A,coin_packages!B:B)</f>
        <v>Small</v>
      </c>
      <c r="L7" s="4" t="str">
        <f t="array" ref="L7">INDEX(coin_packages!$B$2:$B$5,MATCH(C7,coin_packages!$A$2:$A$5,0))</f>
        <v>Small</v>
      </c>
      <c r="M7" s="4">
        <f t="shared" si="0"/>
        <v>0</v>
      </c>
      <c r="N7" s="4" t="b">
        <f t="shared" si="1"/>
        <v>0</v>
      </c>
      <c r="O7" s="4" t="b">
        <f>COUNTIF(refunds!$B$2:$B$15,A7)&gt;0</f>
        <v>0</v>
      </c>
      <c r="P7" s="4">
        <f>_xlfn.XLOOKUP(A7,refunds!$B$2:$B$15,refunds!$D$2:$D$15,0,0)</f>
        <v>0</v>
      </c>
      <c r="Q7" s="4" t="str">
        <f>IF(OR(payments[[#This Row],[completed_at]]="",payments[[#This Row],[completed_at]]=0),"",TEXT(payments[[#This Row],[completed_at]],"yyyy-mm"))</f>
        <v/>
      </c>
    </row>
    <row r="8" spans="1:17">
      <c r="A8">
        <v>2</v>
      </c>
      <c r="B8">
        <v>5</v>
      </c>
      <c r="C8">
        <v>2</v>
      </c>
      <c r="D8" s="3">
        <v>46192.6720138889</v>
      </c>
      <c r="E8" s="3">
        <v>46192.6721296296</v>
      </c>
      <c r="F8" t="s">
        <v>25</v>
      </c>
      <c r="G8">
        <v>9.99</v>
      </c>
      <c r="H8">
        <v>250</v>
      </c>
      <c r="I8" s="4" t="str">
        <f>_xlfn.XLOOKUP(B8,users!A:A,users!C:C)</f>
        <v>CA</v>
      </c>
      <c r="J8" s="4" t="str">
        <f>_xlfn.XLOOKUP(B8,users!A:A,users!D:D)</f>
        <v>mobile</v>
      </c>
      <c r="K8" s="4" t="str">
        <f>_xlfn.XLOOKUP(C8,coin_packages!A:A,coin_packages!B:B)</f>
        <v>Medium</v>
      </c>
      <c r="L8" s="4" t="str">
        <f t="array" ref="L8">INDEX(coin_packages!$B$2:$B$5,MATCH(C8,coin_packages!$A$2:$A$5,0))</f>
        <v>Medium</v>
      </c>
      <c r="M8" s="4">
        <f t="shared" si="0"/>
        <v>9.99</v>
      </c>
      <c r="N8" s="4" t="b">
        <f t="shared" si="1"/>
        <v>0</v>
      </c>
      <c r="O8" s="4" t="b">
        <f>COUNTIF(refunds!$B$2:$B$15,A8)&gt;0</f>
        <v>0</v>
      </c>
      <c r="P8" s="4">
        <f>_xlfn.XLOOKUP(A8,refunds!$B$2:$B$15,refunds!$D$2:$D$15,0,0)</f>
        <v>0</v>
      </c>
      <c r="Q8" s="4" t="str">
        <f>IF(OR(payments[[#This Row],[completed_at]]="",payments[[#This Row],[completed_at]]=0),"",TEXT(payments[[#This Row],[completed_at]],"yyyy-mm"))</f>
        <v>2026-06</v>
      </c>
    </row>
    <row r="9" spans="1:17">
      <c r="A9">
        <v>193</v>
      </c>
      <c r="B9">
        <v>6</v>
      </c>
      <c r="C9">
        <v>1</v>
      </c>
      <c r="D9" s="3">
        <v>46203.9993055556</v>
      </c>
      <c r="F9" t="s">
        <v>55</v>
      </c>
      <c r="G9">
        <v>4.99</v>
      </c>
      <c r="H9">
        <v>0</v>
      </c>
      <c r="I9" s="4" t="str">
        <f>_xlfn.XLOOKUP(B9,users!A:A,users!C:C)</f>
        <v>GB</v>
      </c>
      <c r="J9" s="4" t="str">
        <f>_xlfn.XLOOKUP(B9,users!A:A,users!D:D)</f>
        <v>tablet</v>
      </c>
      <c r="K9" s="4" t="str">
        <f>_xlfn.XLOOKUP(C9,coin_packages!A:A,coin_packages!B:B)</f>
        <v>Small</v>
      </c>
      <c r="L9" s="4" t="str">
        <f t="array" ref="L9">INDEX(coin_packages!$B$2:$B$5,MATCH(C9,coin_packages!$A$2:$A$5,0))</f>
        <v>Small</v>
      </c>
      <c r="M9" s="4">
        <f t="shared" si="0"/>
        <v>0</v>
      </c>
      <c r="N9" s="4" t="b">
        <f t="shared" si="1"/>
        <v>0</v>
      </c>
      <c r="O9" s="4" t="b">
        <f>COUNTIF(refunds!$B$2:$B$15,A9)&gt;0</f>
        <v>0</v>
      </c>
      <c r="P9" s="4">
        <f>_xlfn.XLOOKUP(A9,refunds!$B$2:$B$15,refunds!$D$2:$D$15,0,0)</f>
        <v>0</v>
      </c>
      <c r="Q9" s="4" t="str">
        <f>IF(OR(payments[[#This Row],[completed_at]]="",payments[[#This Row],[completed_at]]=0),"",TEXT(payments[[#This Row],[completed_at]],"yyyy-mm"))</f>
        <v/>
      </c>
    </row>
    <row r="10" spans="1:17">
      <c r="A10">
        <v>194</v>
      </c>
      <c r="B10">
        <v>7</v>
      </c>
      <c r="C10">
        <v>1</v>
      </c>
      <c r="D10" s="3">
        <v>46203.9993055556</v>
      </c>
      <c r="F10" t="s">
        <v>55</v>
      </c>
      <c r="G10">
        <v>4.99</v>
      </c>
      <c r="H10">
        <v>0</v>
      </c>
      <c r="I10" s="4" t="str">
        <f>_xlfn.XLOOKUP(B10,users!A:A,users!C:C)</f>
        <v>US</v>
      </c>
      <c r="J10" s="4" t="str">
        <f>_xlfn.XLOOKUP(B10,users!A:A,users!D:D)</f>
        <v>tablet</v>
      </c>
      <c r="K10" s="4" t="str">
        <f>_xlfn.XLOOKUP(C10,coin_packages!A:A,coin_packages!B:B)</f>
        <v>Small</v>
      </c>
      <c r="L10" s="4" t="str">
        <f t="array" ref="L10">INDEX(coin_packages!$B$2:$B$5,MATCH(C10,coin_packages!$A$2:$A$5,0))</f>
        <v>Small</v>
      </c>
      <c r="M10" s="4">
        <f t="shared" si="0"/>
        <v>0</v>
      </c>
      <c r="N10" s="4" t="b">
        <f t="shared" si="1"/>
        <v>0</v>
      </c>
      <c r="O10" s="4" t="b">
        <f>COUNTIF(refunds!$B$2:$B$15,A10)&gt;0</f>
        <v>0</v>
      </c>
      <c r="P10" s="4">
        <f>_xlfn.XLOOKUP(A10,refunds!$B$2:$B$15,refunds!$D$2:$D$15,0,0)</f>
        <v>0</v>
      </c>
      <c r="Q10" s="4" t="str">
        <f>IF(OR(payments[[#This Row],[completed_at]]="",payments[[#This Row],[completed_at]]=0),"",TEXT(payments[[#This Row],[completed_at]],"yyyy-mm"))</f>
        <v/>
      </c>
    </row>
    <row r="11" spans="1:17">
      <c r="A11">
        <v>195</v>
      </c>
      <c r="B11">
        <v>8</v>
      </c>
      <c r="C11">
        <v>1</v>
      </c>
      <c r="D11" s="3">
        <v>46203.9993055556</v>
      </c>
      <c r="F11" t="s">
        <v>55</v>
      </c>
      <c r="G11">
        <v>4.99</v>
      </c>
      <c r="H11">
        <v>0</v>
      </c>
      <c r="I11" s="4" t="str">
        <f>_xlfn.XLOOKUP(B11,users!A:A,users!C:C)</f>
        <v>CA</v>
      </c>
      <c r="J11" s="4" t="str">
        <f>_xlfn.XLOOKUP(B11,users!A:A,users!D:D)</f>
        <v>desktop</v>
      </c>
      <c r="K11" s="4" t="str">
        <f>_xlfn.XLOOKUP(C11,coin_packages!A:A,coin_packages!B:B)</f>
        <v>Small</v>
      </c>
      <c r="L11" s="4" t="str">
        <f t="array" ref="L11">INDEX(coin_packages!$B$2:$B$5,MATCH(C11,coin_packages!$A$2:$A$5,0))</f>
        <v>Small</v>
      </c>
      <c r="M11" s="4">
        <f t="shared" si="0"/>
        <v>0</v>
      </c>
      <c r="N11" s="4" t="b">
        <f t="shared" si="1"/>
        <v>0</v>
      </c>
      <c r="O11" s="4" t="b">
        <f>COUNTIF(refunds!$B$2:$B$15,A11)&gt;0</f>
        <v>0</v>
      </c>
      <c r="P11" s="4">
        <f>_xlfn.XLOOKUP(A11,refunds!$B$2:$B$15,refunds!$D$2:$D$15,0,0)</f>
        <v>0</v>
      </c>
      <c r="Q11" s="4" t="str">
        <f>IF(OR(payments[[#This Row],[completed_at]]="",payments[[#This Row],[completed_at]]=0),"",TEXT(payments[[#This Row],[completed_at]],"yyyy-mm"))</f>
        <v/>
      </c>
    </row>
    <row r="12" spans="1:17">
      <c r="A12">
        <v>3</v>
      </c>
      <c r="B12">
        <v>8</v>
      </c>
      <c r="C12">
        <v>1</v>
      </c>
      <c r="D12" s="3">
        <v>46088.4451157407</v>
      </c>
      <c r="E12" s="3">
        <v>46088.4452314815</v>
      </c>
      <c r="F12" t="s">
        <v>25</v>
      </c>
      <c r="G12">
        <v>4.99</v>
      </c>
      <c r="H12">
        <v>100</v>
      </c>
      <c r="I12" s="4" t="str">
        <f>_xlfn.XLOOKUP(B12,users!A:A,users!C:C)</f>
        <v>CA</v>
      </c>
      <c r="J12" s="4" t="str">
        <f>_xlfn.XLOOKUP(B12,users!A:A,users!D:D)</f>
        <v>desktop</v>
      </c>
      <c r="K12" s="4" t="str">
        <f>_xlfn.XLOOKUP(C12,coin_packages!A:A,coin_packages!B:B)</f>
        <v>Small</v>
      </c>
      <c r="L12" s="4" t="str">
        <f t="array" ref="L12">INDEX(coin_packages!$B$2:$B$5,MATCH(C12,coin_packages!$A$2:$A$5,0))</f>
        <v>Small</v>
      </c>
      <c r="M12" s="4">
        <f t="shared" si="0"/>
        <v>4.99</v>
      </c>
      <c r="N12" s="4" t="b">
        <f t="shared" si="1"/>
        <v>0</v>
      </c>
      <c r="O12" s="4" t="b">
        <f>COUNTIF(refunds!$B$2:$B$15,A12)&gt;0</f>
        <v>0</v>
      </c>
      <c r="P12" s="4">
        <f>_xlfn.XLOOKUP(A12,refunds!$B$2:$B$15,refunds!$D$2:$D$15,0,0)</f>
        <v>0</v>
      </c>
      <c r="Q12" s="4" t="str">
        <f>IF(OR(payments[[#This Row],[completed_at]]="",payments[[#This Row],[completed_at]]=0),"",TEXT(payments[[#This Row],[completed_at]],"yyyy-mm"))</f>
        <v>2026-03</v>
      </c>
    </row>
    <row r="13" spans="1:17">
      <c r="A13">
        <v>196</v>
      </c>
      <c r="B13">
        <v>9</v>
      </c>
      <c r="C13">
        <v>1</v>
      </c>
      <c r="D13" s="3">
        <v>46203.9993055556</v>
      </c>
      <c r="F13" t="s">
        <v>55</v>
      </c>
      <c r="G13">
        <v>4.99</v>
      </c>
      <c r="H13">
        <v>0</v>
      </c>
      <c r="I13" s="4" t="str">
        <f>_xlfn.XLOOKUP(B13,users!A:A,users!C:C)</f>
        <v>BR</v>
      </c>
      <c r="J13" s="4" t="str">
        <f>_xlfn.XLOOKUP(B13,users!A:A,users!D:D)</f>
        <v>tablet</v>
      </c>
      <c r="K13" s="4" t="str">
        <f>_xlfn.XLOOKUP(C13,coin_packages!A:A,coin_packages!B:B)</f>
        <v>Small</v>
      </c>
      <c r="L13" s="4" t="str">
        <f t="array" ref="L13">INDEX(coin_packages!$B$2:$B$5,MATCH(C13,coin_packages!$A$2:$A$5,0))</f>
        <v>Small</v>
      </c>
      <c r="M13" s="4">
        <f t="shared" si="0"/>
        <v>0</v>
      </c>
      <c r="N13" s="4" t="b">
        <f t="shared" si="1"/>
        <v>0</v>
      </c>
      <c r="O13" s="4" t="b">
        <f>COUNTIF(refunds!$B$2:$B$15,A13)&gt;0</f>
        <v>0</v>
      </c>
      <c r="P13" s="4">
        <f>_xlfn.XLOOKUP(A13,refunds!$B$2:$B$15,refunds!$D$2:$D$15,0,0)</f>
        <v>0</v>
      </c>
      <c r="Q13" s="4" t="str">
        <f>IF(OR(payments[[#This Row],[completed_at]]="",payments[[#This Row],[completed_at]]=0),"",TEXT(payments[[#This Row],[completed_at]],"yyyy-mm"))</f>
        <v/>
      </c>
    </row>
    <row r="14" spans="1:17">
      <c r="A14">
        <v>197</v>
      </c>
      <c r="B14">
        <v>10</v>
      </c>
      <c r="C14">
        <v>1</v>
      </c>
      <c r="D14" s="3">
        <v>46203.9993055556</v>
      </c>
      <c r="F14" t="s">
        <v>55</v>
      </c>
      <c r="G14">
        <v>4.99</v>
      </c>
      <c r="H14">
        <v>0</v>
      </c>
      <c r="I14" s="4" t="str">
        <f>_xlfn.XLOOKUP(B14,users!A:A,users!C:C)</f>
        <v>BR</v>
      </c>
      <c r="J14" s="4" t="str">
        <f>_xlfn.XLOOKUP(B14,users!A:A,users!D:D)</f>
        <v>desktop</v>
      </c>
      <c r="K14" s="4" t="str">
        <f>_xlfn.XLOOKUP(C14,coin_packages!A:A,coin_packages!B:B)</f>
        <v>Small</v>
      </c>
      <c r="L14" s="4" t="str">
        <f t="array" ref="L14">INDEX(coin_packages!$B$2:$B$5,MATCH(C14,coin_packages!$A$2:$A$5,0))</f>
        <v>Small</v>
      </c>
      <c r="M14" s="4">
        <f t="shared" si="0"/>
        <v>0</v>
      </c>
      <c r="N14" s="4" t="b">
        <f t="shared" si="1"/>
        <v>0</v>
      </c>
      <c r="O14" s="4" t="b">
        <f>COUNTIF(refunds!$B$2:$B$15,A14)&gt;0</f>
        <v>0</v>
      </c>
      <c r="P14" s="4">
        <f>_xlfn.XLOOKUP(A14,refunds!$B$2:$B$15,refunds!$D$2:$D$15,0,0)</f>
        <v>0</v>
      </c>
      <c r="Q14" s="4" t="str">
        <f>IF(OR(payments[[#This Row],[completed_at]]="",payments[[#This Row],[completed_at]]=0),"",TEXT(payments[[#This Row],[completed_at]],"yyyy-mm"))</f>
        <v/>
      </c>
    </row>
    <row r="15" spans="1:17">
      <c r="A15">
        <v>198</v>
      </c>
      <c r="B15">
        <v>11</v>
      </c>
      <c r="C15">
        <v>1</v>
      </c>
      <c r="D15" s="3">
        <v>46203.9993055556</v>
      </c>
      <c r="F15" t="s">
        <v>55</v>
      </c>
      <c r="G15">
        <v>4.99</v>
      </c>
      <c r="H15">
        <v>0</v>
      </c>
      <c r="I15" s="4" t="str">
        <f>_xlfn.XLOOKUP(B15,users!A:A,users!C:C)</f>
        <v>UA</v>
      </c>
      <c r="J15" s="4" t="str">
        <f>_xlfn.XLOOKUP(B15,users!A:A,users!D:D)</f>
        <v>mobile</v>
      </c>
      <c r="K15" s="4" t="str">
        <f>_xlfn.XLOOKUP(C15,coin_packages!A:A,coin_packages!B:B)</f>
        <v>Small</v>
      </c>
      <c r="L15" s="4" t="str">
        <f t="array" ref="L15">INDEX(coin_packages!$B$2:$B$5,MATCH(C15,coin_packages!$A$2:$A$5,0))</f>
        <v>Small</v>
      </c>
      <c r="M15" s="4">
        <f t="shared" si="0"/>
        <v>0</v>
      </c>
      <c r="N15" s="4" t="b">
        <f t="shared" si="1"/>
        <v>0</v>
      </c>
      <c r="O15" s="4" t="b">
        <f>COUNTIF(refunds!$B$2:$B$15,A15)&gt;0</f>
        <v>0</v>
      </c>
      <c r="P15" s="4">
        <f>_xlfn.XLOOKUP(A15,refunds!$B$2:$B$15,refunds!$D$2:$D$15,0,0)</f>
        <v>0</v>
      </c>
      <c r="Q15" s="4" t="str">
        <f>IF(OR(payments[[#This Row],[completed_at]]="",payments[[#This Row],[completed_at]]=0),"",TEXT(payments[[#This Row],[completed_at]],"yyyy-mm"))</f>
        <v/>
      </c>
    </row>
    <row r="16" spans="1:17">
      <c r="A16">
        <v>199</v>
      </c>
      <c r="B16">
        <v>12</v>
      </c>
      <c r="C16">
        <v>1</v>
      </c>
      <c r="D16" s="3">
        <v>46203.9993055556</v>
      </c>
      <c r="F16" t="s">
        <v>55</v>
      </c>
      <c r="G16">
        <v>4.99</v>
      </c>
      <c r="H16">
        <v>0</v>
      </c>
      <c r="I16" s="4" t="str">
        <f>_xlfn.XLOOKUP(B16,users!A:A,users!C:C)</f>
        <v>DE</v>
      </c>
      <c r="J16" s="4" t="str">
        <f>_xlfn.XLOOKUP(B16,users!A:A,users!D:D)</f>
        <v>mobile</v>
      </c>
      <c r="K16" s="4" t="str">
        <f>_xlfn.XLOOKUP(C16,coin_packages!A:A,coin_packages!B:B)</f>
        <v>Small</v>
      </c>
      <c r="L16" s="4" t="str">
        <f t="array" ref="L16">INDEX(coin_packages!$B$2:$B$5,MATCH(C16,coin_packages!$A$2:$A$5,0))</f>
        <v>Small</v>
      </c>
      <c r="M16" s="4">
        <f t="shared" si="0"/>
        <v>0</v>
      </c>
      <c r="N16" s="4" t="b">
        <f t="shared" si="1"/>
        <v>0</v>
      </c>
      <c r="O16" s="4" t="b">
        <f>COUNTIF(refunds!$B$2:$B$15,A16)&gt;0</f>
        <v>0</v>
      </c>
      <c r="P16" s="4">
        <f>_xlfn.XLOOKUP(A16,refunds!$B$2:$B$15,refunds!$D$2:$D$15,0,0)</f>
        <v>0</v>
      </c>
      <c r="Q16" s="4" t="str">
        <f>IF(OR(payments[[#This Row],[completed_at]]="",payments[[#This Row],[completed_at]]=0),"",TEXT(payments[[#This Row],[completed_at]],"yyyy-mm"))</f>
        <v/>
      </c>
    </row>
    <row r="17" spans="1:17">
      <c r="A17">
        <v>200</v>
      </c>
      <c r="B17">
        <v>13</v>
      </c>
      <c r="C17">
        <v>1</v>
      </c>
      <c r="D17" s="3">
        <v>46203.9993055556</v>
      </c>
      <c r="F17" t="s">
        <v>55</v>
      </c>
      <c r="G17">
        <v>4.99</v>
      </c>
      <c r="H17">
        <v>0</v>
      </c>
      <c r="I17" s="4" t="str">
        <f>_xlfn.XLOOKUP(B17,users!A:A,users!C:C)</f>
        <v>UA</v>
      </c>
      <c r="J17" s="4" t="str">
        <f>_xlfn.XLOOKUP(B17,users!A:A,users!D:D)</f>
        <v>tablet</v>
      </c>
      <c r="K17" s="4" t="str">
        <f>_xlfn.XLOOKUP(C17,coin_packages!A:A,coin_packages!B:B)</f>
        <v>Small</v>
      </c>
      <c r="L17" s="4" t="str">
        <f t="array" ref="L17">INDEX(coin_packages!$B$2:$B$5,MATCH(C17,coin_packages!$A$2:$A$5,0))</f>
        <v>Small</v>
      </c>
      <c r="M17" s="4">
        <f t="shared" si="0"/>
        <v>0</v>
      </c>
      <c r="N17" s="4" t="b">
        <f t="shared" si="1"/>
        <v>0</v>
      </c>
      <c r="O17" s="4" t="b">
        <f>COUNTIF(refunds!$B$2:$B$15,A17)&gt;0</f>
        <v>0</v>
      </c>
      <c r="P17" s="4">
        <f>_xlfn.XLOOKUP(A17,refunds!$B$2:$B$15,refunds!$D$2:$D$15,0,0)</f>
        <v>0</v>
      </c>
      <c r="Q17" s="4" t="str">
        <f>IF(OR(payments[[#This Row],[completed_at]]="",payments[[#This Row],[completed_at]]=0),"",TEXT(payments[[#This Row],[completed_at]],"yyyy-mm"))</f>
        <v/>
      </c>
    </row>
    <row r="18" spans="1:17">
      <c r="A18">
        <v>4</v>
      </c>
      <c r="B18">
        <v>13</v>
      </c>
      <c r="C18">
        <v>2</v>
      </c>
      <c r="D18" s="3">
        <v>46128.6446527778</v>
      </c>
      <c r="E18" s="3">
        <v>46128.6447685185</v>
      </c>
      <c r="F18" t="s">
        <v>25</v>
      </c>
      <c r="G18">
        <v>7.99</v>
      </c>
      <c r="H18">
        <v>250</v>
      </c>
      <c r="I18" s="4" t="str">
        <f>_xlfn.XLOOKUP(B18,users!A:A,users!C:C)</f>
        <v>UA</v>
      </c>
      <c r="J18" s="4" t="str">
        <f>_xlfn.XLOOKUP(B18,users!A:A,users!D:D)</f>
        <v>tablet</v>
      </c>
      <c r="K18" s="4" t="str">
        <f>_xlfn.XLOOKUP(C18,coin_packages!A:A,coin_packages!B:B)</f>
        <v>Medium</v>
      </c>
      <c r="L18" s="4" t="str">
        <f t="array" ref="L18">INDEX(coin_packages!$B$2:$B$5,MATCH(C18,coin_packages!$A$2:$A$5,0))</f>
        <v>Medium</v>
      </c>
      <c r="M18" s="4">
        <f t="shared" si="0"/>
        <v>7.99</v>
      </c>
      <c r="N18" s="4" t="b">
        <f t="shared" si="1"/>
        <v>0</v>
      </c>
      <c r="O18" s="4" t="b">
        <f>COUNTIF(refunds!$B$2:$B$15,A18)&gt;0</f>
        <v>0</v>
      </c>
      <c r="P18" s="4">
        <f>_xlfn.XLOOKUP(A18,refunds!$B$2:$B$15,refunds!$D$2:$D$15,0,0)</f>
        <v>0</v>
      </c>
      <c r="Q18" s="4" t="str">
        <f>IF(OR(payments[[#This Row],[completed_at]]="",payments[[#This Row],[completed_at]]=0),"",TEXT(payments[[#This Row],[completed_at]],"yyyy-mm"))</f>
        <v>2026-04</v>
      </c>
    </row>
    <row r="19" spans="1:17">
      <c r="A19">
        <v>201</v>
      </c>
      <c r="B19">
        <v>14</v>
      </c>
      <c r="C19">
        <v>1</v>
      </c>
      <c r="D19" s="3">
        <v>46203.9993055556</v>
      </c>
      <c r="F19" t="s">
        <v>55</v>
      </c>
      <c r="G19">
        <v>4.99</v>
      </c>
      <c r="H19">
        <v>0</v>
      </c>
      <c r="I19" s="4" t="str">
        <f>_xlfn.XLOOKUP(B19,users!A:A,users!C:C)</f>
        <v>BR</v>
      </c>
      <c r="J19" s="4" t="str">
        <f>_xlfn.XLOOKUP(B19,users!A:A,users!D:D)</f>
        <v>tablet</v>
      </c>
      <c r="K19" s="4" t="str">
        <f>_xlfn.XLOOKUP(C19,coin_packages!A:A,coin_packages!B:B)</f>
        <v>Small</v>
      </c>
      <c r="L19" s="4" t="str">
        <f t="array" ref="L19">INDEX(coin_packages!$B$2:$B$5,MATCH(C19,coin_packages!$A$2:$A$5,0))</f>
        <v>Small</v>
      </c>
      <c r="M19" s="4">
        <f t="shared" si="0"/>
        <v>0</v>
      </c>
      <c r="N19" s="4" t="b">
        <f t="shared" si="1"/>
        <v>0</v>
      </c>
      <c r="O19" s="4" t="b">
        <f>COUNTIF(refunds!$B$2:$B$15,A19)&gt;0</f>
        <v>0</v>
      </c>
      <c r="P19" s="4">
        <f>_xlfn.XLOOKUP(A19,refunds!$B$2:$B$15,refunds!$D$2:$D$15,0,0)</f>
        <v>0</v>
      </c>
      <c r="Q19" s="4" t="str">
        <f>IF(OR(payments[[#This Row],[completed_at]]="",payments[[#This Row],[completed_at]]=0),"",TEXT(payments[[#This Row],[completed_at]],"yyyy-mm"))</f>
        <v/>
      </c>
    </row>
    <row r="20" spans="1:17">
      <c r="A20">
        <v>202</v>
      </c>
      <c r="B20">
        <v>15</v>
      </c>
      <c r="C20">
        <v>1</v>
      </c>
      <c r="D20" s="3">
        <v>46203.9993055556</v>
      </c>
      <c r="F20" t="s">
        <v>55</v>
      </c>
      <c r="G20">
        <v>4.99</v>
      </c>
      <c r="H20">
        <v>0</v>
      </c>
      <c r="I20" s="4" t="str">
        <f>_xlfn.XLOOKUP(B20,users!A:A,users!C:C)</f>
        <v>CA</v>
      </c>
      <c r="J20" s="4" t="str">
        <f>_xlfn.XLOOKUP(B20,users!A:A,users!D:D)</f>
        <v>mobile</v>
      </c>
      <c r="K20" s="4" t="str">
        <f>_xlfn.XLOOKUP(C20,coin_packages!A:A,coin_packages!B:B)</f>
        <v>Small</v>
      </c>
      <c r="L20" s="4" t="str">
        <f t="array" ref="L20">INDEX(coin_packages!$B$2:$B$5,MATCH(C20,coin_packages!$A$2:$A$5,0))</f>
        <v>Small</v>
      </c>
      <c r="M20" s="4">
        <f t="shared" si="0"/>
        <v>0</v>
      </c>
      <c r="N20" s="4" t="b">
        <f t="shared" si="1"/>
        <v>0</v>
      </c>
      <c r="O20" s="4" t="b">
        <f>COUNTIF(refunds!$B$2:$B$15,A20)&gt;0</f>
        <v>0</v>
      </c>
      <c r="P20" s="4">
        <f>_xlfn.XLOOKUP(A20,refunds!$B$2:$B$15,refunds!$D$2:$D$15,0,0)</f>
        <v>0</v>
      </c>
      <c r="Q20" s="4" t="str">
        <f>IF(OR(payments[[#This Row],[completed_at]]="",payments[[#This Row],[completed_at]]=0),"",TEXT(payments[[#This Row],[completed_at]],"yyyy-mm"))</f>
        <v/>
      </c>
    </row>
    <row r="21" spans="1:17">
      <c r="A21">
        <v>5</v>
      </c>
      <c r="B21">
        <v>36</v>
      </c>
      <c r="C21">
        <v>2</v>
      </c>
      <c r="D21" s="3">
        <v>46150.418900463</v>
      </c>
      <c r="E21" s="3">
        <v>46150.4190162037</v>
      </c>
      <c r="F21" t="s">
        <v>25</v>
      </c>
      <c r="G21">
        <v>7.99</v>
      </c>
      <c r="H21">
        <v>250</v>
      </c>
      <c r="I21" s="4" t="str">
        <f>_xlfn.XLOOKUP(B21,users!A:A,users!C:C)</f>
        <v>US</v>
      </c>
      <c r="J21" s="4" t="str">
        <f>_xlfn.XLOOKUP(B21,users!A:A,users!D:D)</f>
        <v>mobile</v>
      </c>
      <c r="K21" s="4" t="str">
        <f>_xlfn.XLOOKUP(C21,coin_packages!A:A,coin_packages!B:B)</f>
        <v>Medium</v>
      </c>
      <c r="L21" s="4" t="str">
        <f t="array" ref="L21">INDEX(coin_packages!$B$2:$B$5,MATCH(C21,coin_packages!$A$2:$A$5,0))</f>
        <v>Medium</v>
      </c>
      <c r="M21" s="4">
        <f t="shared" si="0"/>
        <v>7.99</v>
      </c>
      <c r="N21" s="4" t="b">
        <f t="shared" si="1"/>
        <v>1</v>
      </c>
      <c r="O21" s="4" t="b">
        <f>COUNTIF(refunds!$B$2:$B$15,A21)&gt;0</f>
        <v>0</v>
      </c>
      <c r="P21" s="4">
        <f>_xlfn.XLOOKUP(A21,refunds!$B$2:$B$15,refunds!$D$2:$D$15,0,0)</f>
        <v>0</v>
      </c>
      <c r="Q21" s="4" t="str">
        <f>IF(OR(payments[[#This Row],[completed_at]]="",payments[[#This Row],[completed_at]]=0),"",TEXT(payments[[#This Row],[completed_at]],"yyyy-mm"))</f>
        <v>2026-05</v>
      </c>
    </row>
    <row r="22" spans="1:17">
      <c r="A22">
        <v>6</v>
      </c>
      <c r="B22">
        <v>40</v>
      </c>
      <c r="C22">
        <v>3</v>
      </c>
      <c r="D22" s="3">
        <v>46192.3391666667</v>
      </c>
      <c r="E22" s="3">
        <v>46192.3392824074</v>
      </c>
      <c r="F22" t="s">
        <v>25</v>
      </c>
      <c r="G22">
        <v>19.99</v>
      </c>
      <c r="H22">
        <v>600</v>
      </c>
      <c r="I22" s="4" t="str">
        <f>_xlfn.XLOOKUP(B22,users!A:A,users!C:C)</f>
        <v>BR</v>
      </c>
      <c r="J22" s="4" t="str">
        <f>_xlfn.XLOOKUP(B22,users!A:A,users!D:D)</f>
        <v>tablet</v>
      </c>
      <c r="K22" s="4" t="str">
        <f>_xlfn.XLOOKUP(C22,coin_packages!A:A,coin_packages!B:B)</f>
        <v>Large</v>
      </c>
      <c r="L22" s="4" t="str">
        <f t="array" ref="L22">INDEX(coin_packages!$B$2:$B$5,MATCH(C22,coin_packages!$A$2:$A$5,0))</f>
        <v>Large</v>
      </c>
      <c r="M22" s="4">
        <f t="shared" si="0"/>
        <v>19.99</v>
      </c>
      <c r="N22" s="4" t="b">
        <f t="shared" si="1"/>
        <v>0</v>
      </c>
      <c r="O22" s="4" t="b">
        <f>COUNTIF(refunds!$B$2:$B$15,A22)&gt;0</f>
        <v>0</v>
      </c>
      <c r="P22" s="4">
        <f>_xlfn.XLOOKUP(A22,refunds!$B$2:$B$15,refunds!$D$2:$D$15,0,0)</f>
        <v>0</v>
      </c>
      <c r="Q22" s="4" t="str">
        <f>IF(OR(payments[[#This Row],[completed_at]]="",payments[[#This Row],[completed_at]]=0),"",TEXT(payments[[#This Row],[completed_at]],"yyyy-mm"))</f>
        <v>2026-06</v>
      </c>
    </row>
    <row r="23" spans="1:17">
      <c r="A23">
        <v>7</v>
      </c>
      <c r="B23">
        <v>41</v>
      </c>
      <c r="C23">
        <v>3</v>
      </c>
      <c r="D23" s="3">
        <v>46196.5511574074</v>
      </c>
      <c r="E23" s="3">
        <v>46196.5512731482</v>
      </c>
      <c r="F23" t="s">
        <v>25</v>
      </c>
      <c r="G23">
        <v>19.99</v>
      </c>
      <c r="H23">
        <v>600</v>
      </c>
      <c r="I23" s="4" t="str">
        <f>_xlfn.XLOOKUP(B23,users!A:A,users!C:C)</f>
        <v>GB</v>
      </c>
      <c r="J23" s="4" t="str">
        <f>_xlfn.XLOOKUP(B23,users!A:A,users!D:D)</f>
        <v>tablet</v>
      </c>
      <c r="K23" s="4" t="str">
        <f>_xlfn.XLOOKUP(C23,coin_packages!A:A,coin_packages!B:B)</f>
        <v>Large</v>
      </c>
      <c r="L23" s="4" t="str">
        <f t="array" ref="L23">INDEX(coin_packages!$B$2:$B$5,MATCH(C23,coin_packages!$A$2:$A$5,0))</f>
        <v>Large</v>
      </c>
      <c r="M23" s="4">
        <f t="shared" si="0"/>
        <v>19.99</v>
      </c>
      <c r="N23" s="4" t="b">
        <f t="shared" si="1"/>
        <v>0</v>
      </c>
      <c r="O23" s="4" t="b">
        <f>COUNTIF(refunds!$B$2:$B$15,A23)&gt;0</f>
        <v>0</v>
      </c>
      <c r="P23" s="4">
        <f>_xlfn.XLOOKUP(A23,refunds!$B$2:$B$15,refunds!$D$2:$D$15,0,0)</f>
        <v>0</v>
      </c>
      <c r="Q23" s="4" t="str">
        <f>IF(OR(payments[[#This Row],[completed_at]]="",payments[[#This Row],[completed_at]]=0),"",TEXT(payments[[#This Row],[completed_at]],"yyyy-mm"))</f>
        <v>2026-06</v>
      </c>
    </row>
    <row r="24" spans="1:17">
      <c r="A24">
        <v>8</v>
      </c>
      <c r="B24">
        <v>42</v>
      </c>
      <c r="C24">
        <v>3</v>
      </c>
      <c r="D24" s="3">
        <v>46144.5099189815</v>
      </c>
      <c r="E24" s="3">
        <v>46144.5100347222</v>
      </c>
      <c r="F24" t="s">
        <v>25</v>
      </c>
      <c r="G24">
        <v>19.99</v>
      </c>
      <c r="H24">
        <v>600</v>
      </c>
      <c r="I24" s="4" t="str">
        <f>_xlfn.XLOOKUP(B24,users!A:A,users!C:C)</f>
        <v>GB</v>
      </c>
      <c r="J24" s="4" t="str">
        <f>_xlfn.XLOOKUP(B24,users!A:A,users!D:D)</f>
        <v>tablet</v>
      </c>
      <c r="K24" s="4" t="str">
        <f>_xlfn.XLOOKUP(C24,coin_packages!A:A,coin_packages!B:B)</f>
        <v>Large</v>
      </c>
      <c r="L24" s="4" t="str">
        <f t="array" ref="L24">INDEX(coin_packages!$B$2:$B$5,MATCH(C24,coin_packages!$A$2:$A$5,0))</f>
        <v>Large</v>
      </c>
      <c r="M24" s="4">
        <f t="shared" si="0"/>
        <v>19.99</v>
      </c>
      <c r="N24" s="4" t="b">
        <f t="shared" si="1"/>
        <v>0</v>
      </c>
      <c r="O24" s="4" t="b">
        <f>COUNTIF(refunds!$B$2:$B$15,A24)&gt;0</f>
        <v>0</v>
      </c>
      <c r="P24" s="4">
        <f>_xlfn.XLOOKUP(A24,refunds!$B$2:$B$15,refunds!$D$2:$D$15,0,0)</f>
        <v>0</v>
      </c>
      <c r="Q24" s="4" t="str">
        <f>IF(OR(payments[[#This Row],[completed_at]]="",payments[[#This Row],[completed_at]]=0),"",TEXT(payments[[#This Row],[completed_at]],"yyyy-mm"))</f>
        <v>2026-05</v>
      </c>
    </row>
    <row r="25" spans="1:17">
      <c r="A25">
        <v>10</v>
      </c>
      <c r="B25">
        <v>49</v>
      </c>
      <c r="C25">
        <v>1</v>
      </c>
      <c r="D25" s="3">
        <v>46137.0620138889</v>
      </c>
      <c r="E25" s="3">
        <v>46137.0621296296</v>
      </c>
      <c r="F25" t="s">
        <v>25</v>
      </c>
      <c r="G25">
        <v>4.99</v>
      </c>
      <c r="H25">
        <v>100</v>
      </c>
      <c r="I25" s="4" t="str">
        <f>_xlfn.XLOOKUP(B25,users!A:A,users!C:C)</f>
        <v>CA</v>
      </c>
      <c r="J25" s="4" t="str">
        <f>_xlfn.XLOOKUP(B25,users!A:A,users!D:D)</f>
        <v>mobile</v>
      </c>
      <c r="K25" s="4" t="str">
        <f>_xlfn.XLOOKUP(C25,coin_packages!A:A,coin_packages!B:B)</f>
        <v>Small</v>
      </c>
      <c r="L25" s="4" t="str">
        <f t="array" ref="L25">INDEX(coin_packages!$B$2:$B$5,MATCH(C25,coin_packages!$A$2:$A$5,0))</f>
        <v>Small</v>
      </c>
      <c r="M25" s="4">
        <f t="shared" si="0"/>
        <v>4.99</v>
      </c>
      <c r="N25" s="4" t="b">
        <f t="shared" si="1"/>
        <v>0</v>
      </c>
      <c r="O25" s="4" t="b">
        <f>COUNTIF(refunds!$B$2:$B$15,A25)&gt;0</f>
        <v>0</v>
      </c>
      <c r="P25" s="4">
        <f>_xlfn.XLOOKUP(A25,refunds!$B$2:$B$15,refunds!$D$2:$D$15,0,0)</f>
        <v>0</v>
      </c>
      <c r="Q25" s="4" t="str">
        <f>IF(OR(payments[[#This Row],[completed_at]]="",payments[[#This Row],[completed_at]]=0),"",TEXT(payments[[#This Row],[completed_at]],"yyyy-mm"))</f>
        <v>2026-04</v>
      </c>
    </row>
    <row r="26" spans="1:17">
      <c r="A26">
        <v>9</v>
      </c>
      <c r="B26">
        <v>49</v>
      </c>
      <c r="C26">
        <v>2</v>
      </c>
      <c r="D26" s="3">
        <v>46136.8752546296</v>
      </c>
      <c r="E26" s="3">
        <v>46136.8753703704</v>
      </c>
      <c r="F26" t="s">
        <v>25</v>
      </c>
      <c r="G26">
        <v>9.99</v>
      </c>
      <c r="H26">
        <v>250</v>
      </c>
      <c r="I26" s="4" t="str">
        <f>_xlfn.XLOOKUP(B26,users!A:A,users!C:C)</f>
        <v>CA</v>
      </c>
      <c r="J26" s="4" t="str">
        <f>_xlfn.XLOOKUP(B26,users!A:A,users!D:D)</f>
        <v>mobile</v>
      </c>
      <c r="K26" s="4" t="str">
        <f>_xlfn.XLOOKUP(C26,coin_packages!A:A,coin_packages!B:B)</f>
        <v>Medium</v>
      </c>
      <c r="L26" s="4" t="str">
        <f t="array" ref="L26">INDEX(coin_packages!$B$2:$B$5,MATCH(C26,coin_packages!$A$2:$A$5,0))</f>
        <v>Medium</v>
      </c>
      <c r="M26" s="4">
        <f t="shared" si="0"/>
        <v>9.99</v>
      </c>
      <c r="N26" s="4" t="b">
        <f t="shared" si="1"/>
        <v>0</v>
      </c>
      <c r="O26" s="4" t="b">
        <f>COUNTIF(refunds!$B$2:$B$15,A26)&gt;0</f>
        <v>1</v>
      </c>
      <c r="P26" s="4">
        <f>_xlfn.XLOOKUP(A26,refunds!$B$2:$B$15,refunds!$D$2:$D$15,0,0)</f>
        <v>9.99</v>
      </c>
      <c r="Q26" s="4" t="str">
        <f>IF(OR(payments[[#This Row],[completed_at]]="",payments[[#This Row],[completed_at]]=0),"",TEXT(payments[[#This Row],[completed_at]],"yyyy-mm"))</f>
        <v>2026-04</v>
      </c>
    </row>
    <row r="27" spans="1:17">
      <c r="A27">
        <v>11</v>
      </c>
      <c r="B27">
        <v>56</v>
      </c>
      <c r="C27">
        <v>1</v>
      </c>
      <c r="D27" s="3">
        <v>46129.9933217593</v>
      </c>
      <c r="E27" s="3">
        <v>46129.9934375</v>
      </c>
      <c r="F27" t="s">
        <v>25</v>
      </c>
      <c r="G27">
        <v>4.99</v>
      </c>
      <c r="H27">
        <v>100</v>
      </c>
      <c r="I27" s="4" t="str">
        <f>_xlfn.XLOOKUP(B27,users!A:A,users!C:C)</f>
        <v>US</v>
      </c>
      <c r="J27" s="4" t="str">
        <f>_xlfn.XLOOKUP(B27,users!A:A,users!D:D)</f>
        <v>desktop</v>
      </c>
      <c r="K27" s="4" t="str">
        <f>_xlfn.XLOOKUP(C27,coin_packages!A:A,coin_packages!B:B)</f>
        <v>Small</v>
      </c>
      <c r="L27" s="4" t="str">
        <f t="array" ref="L27">INDEX(coin_packages!$B$2:$B$5,MATCH(C27,coin_packages!$A$2:$A$5,0))</f>
        <v>Small</v>
      </c>
      <c r="M27" s="4">
        <f t="shared" si="0"/>
        <v>4.99</v>
      </c>
      <c r="N27" s="4" t="b">
        <f t="shared" si="1"/>
        <v>0</v>
      </c>
      <c r="O27" s="4" t="b">
        <f>COUNTIF(refunds!$B$2:$B$15,A27)&gt;0</f>
        <v>0</v>
      </c>
      <c r="P27" s="4">
        <f>_xlfn.XLOOKUP(A27,refunds!$B$2:$B$15,refunds!$D$2:$D$15,0,0)</f>
        <v>0</v>
      </c>
      <c r="Q27" s="4" t="str">
        <f>IF(OR(payments[[#This Row],[completed_at]]="",payments[[#This Row],[completed_at]]=0),"",TEXT(payments[[#This Row],[completed_at]],"yyyy-mm"))</f>
        <v>2026-04</v>
      </c>
    </row>
    <row r="28" spans="1:17">
      <c r="A28">
        <v>12</v>
      </c>
      <c r="B28">
        <v>57</v>
      </c>
      <c r="C28">
        <v>2</v>
      </c>
      <c r="D28" s="3">
        <v>46145.645474537</v>
      </c>
      <c r="E28" s="3">
        <v>46145.6455902778</v>
      </c>
      <c r="F28" t="s">
        <v>25</v>
      </c>
      <c r="G28">
        <v>9.99</v>
      </c>
      <c r="H28">
        <v>250</v>
      </c>
      <c r="I28" s="4" t="str">
        <f>_xlfn.XLOOKUP(B28,users!A:A,users!C:C)</f>
        <v>GB</v>
      </c>
      <c r="J28" s="4" t="str">
        <f>_xlfn.XLOOKUP(B28,users!A:A,users!D:D)</f>
        <v>tablet</v>
      </c>
      <c r="K28" s="4" t="str">
        <f>_xlfn.XLOOKUP(C28,coin_packages!A:A,coin_packages!B:B)</f>
        <v>Medium</v>
      </c>
      <c r="L28" s="4" t="str">
        <f t="array" ref="L28">INDEX(coin_packages!$B$2:$B$5,MATCH(C28,coin_packages!$A$2:$A$5,0))</f>
        <v>Medium</v>
      </c>
      <c r="M28" s="4">
        <f t="shared" si="0"/>
        <v>9.99</v>
      </c>
      <c r="N28" s="4" t="b">
        <f t="shared" si="1"/>
        <v>0</v>
      </c>
      <c r="O28" s="4" t="b">
        <f>COUNTIF(refunds!$B$2:$B$15,A28)&gt;0</f>
        <v>0</v>
      </c>
      <c r="P28" s="4">
        <f>_xlfn.XLOOKUP(A28,refunds!$B$2:$B$15,refunds!$D$2:$D$15,0,0)</f>
        <v>0</v>
      </c>
      <c r="Q28" s="4" t="str">
        <f>IF(OR(payments[[#This Row],[completed_at]]="",payments[[#This Row],[completed_at]]=0),"",TEXT(payments[[#This Row],[completed_at]],"yyyy-mm"))</f>
        <v>2026-05</v>
      </c>
    </row>
    <row r="29" spans="1:17">
      <c r="A29">
        <v>13</v>
      </c>
      <c r="B29">
        <v>58</v>
      </c>
      <c r="C29">
        <v>3</v>
      </c>
      <c r="D29" s="3">
        <v>46066.0914351852</v>
      </c>
      <c r="E29" s="3">
        <v>46066.0915509259</v>
      </c>
      <c r="F29" t="s">
        <v>25</v>
      </c>
      <c r="G29">
        <v>19.99</v>
      </c>
      <c r="H29">
        <v>600</v>
      </c>
      <c r="I29" s="4" t="str">
        <f>_xlfn.XLOOKUP(B29,users!A:A,users!C:C)</f>
        <v>CA</v>
      </c>
      <c r="J29" s="4" t="str">
        <f>_xlfn.XLOOKUP(B29,users!A:A,users!D:D)</f>
        <v>desktop</v>
      </c>
      <c r="K29" s="4" t="str">
        <f>_xlfn.XLOOKUP(C29,coin_packages!A:A,coin_packages!B:B)</f>
        <v>Large</v>
      </c>
      <c r="L29" s="4" t="str">
        <f t="array" ref="L29">INDEX(coin_packages!$B$2:$B$5,MATCH(C29,coin_packages!$A$2:$A$5,0))</f>
        <v>Large</v>
      </c>
      <c r="M29" s="4">
        <f t="shared" si="0"/>
        <v>19.99</v>
      </c>
      <c r="N29" s="4" t="b">
        <f t="shared" si="1"/>
        <v>0</v>
      </c>
      <c r="O29" s="4" t="b">
        <f>COUNTIF(refunds!$B$2:$B$15,A29)&gt;0</f>
        <v>0</v>
      </c>
      <c r="P29" s="4">
        <f>_xlfn.XLOOKUP(A29,refunds!$B$2:$B$15,refunds!$D$2:$D$15,0,0)</f>
        <v>0</v>
      </c>
      <c r="Q29" s="4" t="str">
        <f>IF(OR(payments[[#This Row],[completed_at]]="",payments[[#This Row],[completed_at]]=0),"",TEXT(payments[[#This Row],[completed_at]],"yyyy-mm"))</f>
        <v>2026-02</v>
      </c>
    </row>
    <row r="30" spans="1:17">
      <c r="A30">
        <v>14</v>
      </c>
      <c r="B30">
        <v>65</v>
      </c>
      <c r="C30">
        <v>1</v>
      </c>
      <c r="D30" s="3">
        <v>46169.21</v>
      </c>
      <c r="E30" s="3">
        <v>46169.2101157407</v>
      </c>
      <c r="F30" t="s">
        <v>25</v>
      </c>
      <c r="G30">
        <v>4.99</v>
      </c>
      <c r="H30">
        <v>100</v>
      </c>
      <c r="I30" s="4" t="str">
        <f>_xlfn.XLOOKUP(B30,users!A:A,users!C:C)</f>
        <v>CA</v>
      </c>
      <c r="J30" s="4" t="str">
        <f>_xlfn.XLOOKUP(B30,users!A:A,users!D:D)</f>
        <v>mobile</v>
      </c>
      <c r="K30" s="4" t="str">
        <f>_xlfn.XLOOKUP(C30,coin_packages!A:A,coin_packages!B:B)</f>
        <v>Small</v>
      </c>
      <c r="L30" s="4" t="str">
        <f t="array" ref="L30">INDEX(coin_packages!$B$2:$B$5,MATCH(C30,coin_packages!$A$2:$A$5,0))</f>
        <v>Small</v>
      </c>
      <c r="M30" s="4">
        <f t="shared" si="0"/>
        <v>4.99</v>
      </c>
      <c r="N30" s="4" t="b">
        <f t="shared" si="1"/>
        <v>0</v>
      </c>
      <c r="O30" s="4" t="b">
        <f>COUNTIF(refunds!$B$2:$B$15,A30)&gt;0</f>
        <v>0</v>
      </c>
      <c r="P30" s="4">
        <f>_xlfn.XLOOKUP(A30,refunds!$B$2:$B$15,refunds!$D$2:$D$15,0,0)</f>
        <v>0</v>
      </c>
      <c r="Q30" s="4" t="str">
        <f>IF(OR(payments[[#This Row],[completed_at]]="",payments[[#This Row],[completed_at]]=0),"",TEXT(payments[[#This Row],[completed_at]],"yyyy-mm"))</f>
        <v>2026-05</v>
      </c>
    </row>
    <row r="31" spans="1:17">
      <c r="A31">
        <v>15</v>
      </c>
      <c r="B31">
        <v>66</v>
      </c>
      <c r="C31">
        <v>2</v>
      </c>
      <c r="D31" s="3">
        <v>46126.5264699074</v>
      </c>
      <c r="E31" s="3">
        <v>46126.5265856481</v>
      </c>
      <c r="F31" t="s">
        <v>25</v>
      </c>
      <c r="G31">
        <v>9.99</v>
      </c>
      <c r="H31">
        <v>250</v>
      </c>
      <c r="I31" s="4" t="str">
        <f>_xlfn.XLOOKUP(B31,users!A:A,users!C:C)</f>
        <v>DE</v>
      </c>
      <c r="J31" s="4" t="str">
        <f>_xlfn.XLOOKUP(B31,users!A:A,users!D:D)</f>
        <v>desktop</v>
      </c>
      <c r="K31" s="4" t="str">
        <f>_xlfn.XLOOKUP(C31,coin_packages!A:A,coin_packages!B:B)</f>
        <v>Medium</v>
      </c>
      <c r="L31" s="4" t="str">
        <f t="array" ref="L31">INDEX(coin_packages!$B$2:$B$5,MATCH(C31,coin_packages!$A$2:$A$5,0))</f>
        <v>Medium</v>
      </c>
      <c r="M31" s="4">
        <f t="shared" si="0"/>
        <v>9.99</v>
      </c>
      <c r="N31" s="4" t="b">
        <f t="shared" si="1"/>
        <v>0</v>
      </c>
      <c r="O31" s="4" t="b">
        <f>COUNTIF(refunds!$B$2:$B$15,A31)&gt;0</f>
        <v>0</v>
      </c>
      <c r="P31" s="4">
        <f>_xlfn.XLOOKUP(A31,refunds!$B$2:$B$15,refunds!$D$2:$D$15,0,0)</f>
        <v>0</v>
      </c>
      <c r="Q31" s="4" t="str">
        <f>IF(OR(payments[[#This Row],[completed_at]]="",payments[[#This Row],[completed_at]]=0),"",TEXT(payments[[#This Row],[completed_at]],"yyyy-mm"))</f>
        <v>2026-04</v>
      </c>
    </row>
    <row r="32" spans="1:17">
      <c r="A32">
        <v>16</v>
      </c>
      <c r="B32">
        <v>67</v>
      </c>
      <c r="C32">
        <v>3</v>
      </c>
      <c r="D32" s="3">
        <v>46086.509525463</v>
      </c>
      <c r="E32" s="3">
        <v>46086.5096412037</v>
      </c>
      <c r="F32" t="s">
        <v>25</v>
      </c>
      <c r="G32">
        <v>19.99</v>
      </c>
      <c r="H32">
        <v>600</v>
      </c>
      <c r="I32" s="4" t="str">
        <f>_xlfn.XLOOKUP(B32,users!A:A,users!C:C)</f>
        <v>CA</v>
      </c>
      <c r="J32" s="4" t="str">
        <f>_xlfn.XLOOKUP(B32,users!A:A,users!D:D)</f>
        <v>tablet</v>
      </c>
      <c r="K32" s="4" t="str">
        <f>_xlfn.XLOOKUP(C32,coin_packages!A:A,coin_packages!B:B)</f>
        <v>Large</v>
      </c>
      <c r="L32" s="4" t="str">
        <f t="array" ref="L32">INDEX(coin_packages!$B$2:$B$5,MATCH(C32,coin_packages!$A$2:$A$5,0))</f>
        <v>Large</v>
      </c>
      <c r="M32" s="4">
        <f t="shared" si="0"/>
        <v>19.99</v>
      </c>
      <c r="N32" s="4" t="b">
        <f t="shared" si="1"/>
        <v>0</v>
      </c>
      <c r="O32" s="4" t="b">
        <f>COUNTIF(refunds!$B$2:$B$15,A32)&gt;0</f>
        <v>0</v>
      </c>
      <c r="P32" s="4">
        <f>_xlfn.XLOOKUP(A32,refunds!$B$2:$B$15,refunds!$D$2:$D$15,0,0)</f>
        <v>0</v>
      </c>
      <c r="Q32" s="4" t="str">
        <f>IF(OR(payments[[#This Row],[completed_at]]="",payments[[#This Row],[completed_at]]=0),"",TEXT(payments[[#This Row],[completed_at]],"yyyy-mm"))</f>
        <v>2026-03</v>
      </c>
    </row>
    <row r="33" spans="1:17">
      <c r="A33">
        <v>18</v>
      </c>
      <c r="B33">
        <v>69</v>
      </c>
      <c r="C33">
        <v>3</v>
      </c>
      <c r="D33" s="3">
        <v>46115.3791087963</v>
      </c>
      <c r="E33" s="3">
        <v>46115.379224537</v>
      </c>
      <c r="F33" t="s">
        <v>25</v>
      </c>
      <c r="G33">
        <v>19.99</v>
      </c>
      <c r="H33">
        <v>600</v>
      </c>
      <c r="I33" s="4" t="str">
        <f>_xlfn.XLOOKUP(B33,users!A:A,users!C:C)</f>
        <v>BR</v>
      </c>
      <c r="J33" s="4" t="str">
        <f>_xlfn.XLOOKUP(B33,users!A:A,users!D:D)</f>
        <v>mobile</v>
      </c>
      <c r="K33" s="4" t="str">
        <f>_xlfn.XLOOKUP(C33,coin_packages!A:A,coin_packages!B:B)</f>
        <v>Large</v>
      </c>
      <c r="L33" s="4" t="str">
        <f t="array" ref="L33">INDEX(coin_packages!$B$2:$B$5,MATCH(C33,coin_packages!$A$2:$A$5,0))</f>
        <v>Large</v>
      </c>
      <c r="M33" s="4">
        <f t="shared" si="0"/>
        <v>19.99</v>
      </c>
      <c r="N33" s="4" t="b">
        <f t="shared" si="1"/>
        <v>0</v>
      </c>
      <c r="O33" s="4" t="b">
        <f>COUNTIF(refunds!$B$2:$B$15,A33)&gt;0</f>
        <v>0</v>
      </c>
      <c r="P33" s="4">
        <f>_xlfn.XLOOKUP(A33,refunds!$B$2:$B$15,refunds!$D$2:$D$15,0,0)</f>
        <v>0</v>
      </c>
      <c r="Q33" s="4" t="str">
        <f>IF(OR(payments[[#This Row],[completed_at]]="",payments[[#This Row],[completed_at]]=0),"",TEXT(payments[[#This Row],[completed_at]],"yyyy-mm"))</f>
        <v>2026-04</v>
      </c>
    </row>
    <row r="34" spans="1:17">
      <c r="A34">
        <v>17</v>
      </c>
      <c r="B34">
        <v>69</v>
      </c>
      <c r="C34">
        <v>3</v>
      </c>
      <c r="D34" s="3">
        <v>46104.2275115741</v>
      </c>
      <c r="F34" t="s">
        <v>56</v>
      </c>
      <c r="G34">
        <v>19.99</v>
      </c>
      <c r="H34">
        <v>0</v>
      </c>
      <c r="I34" s="4" t="str">
        <f>_xlfn.XLOOKUP(B34,users!A:A,users!C:C)</f>
        <v>BR</v>
      </c>
      <c r="J34" s="4" t="str">
        <f>_xlfn.XLOOKUP(B34,users!A:A,users!D:D)</f>
        <v>mobile</v>
      </c>
      <c r="K34" s="4" t="str">
        <f>_xlfn.XLOOKUP(C34,coin_packages!A:A,coin_packages!B:B)</f>
        <v>Large</v>
      </c>
      <c r="L34" s="4" t="str">
        <f t="array" ref="L34">INDEX(coin_packages!$B$2:$B$5,MATCH(C34,coin_packages!$A$2:$A$5,0))</f>
        <v>Large</v>
      </c>
      <c r="M34" s="4">
        <f t="shared" si="0"/>
        <v>0</v>
      </c>
      <c r="N34" s="4" t="b">
        <f t="shared" si="1"/>
        <v>0</v>
      </c>
      <c r="O34" s="4" t="b">
        <f>COUNTIF(refunds!$B$2:$B$15,A34)&gt;0</f>
        <v>0</v>
      </c>
      <c r="P34" s="4">
        <f>_xlfn.XLOOKUP(A34,refunds!$B$2:$B$15,refunds!$D$2:$D$15,0,0)</f>
        <v>0</v>
      </c>
      <c r="Q34" s="4" t="str">
        <f>IF(OR(payments[[#This Row],[completed_at]]="",payments[[#This Row],[completed_at]]=0),"",TEXT(payments[[#This Row],[completed_at]],"yyyy-mm"))</f>
        <v/>
      </c>
    </row>
    <row r="35" spans="1:17">
      <c r="A35">
        <v>20</v>
      </c>
      <c r="B35">
        <v>70</v>
      </c>
      <c r="C35">
        <v>2</v>
      </c>
      <c r="D35" s="3">
        <v>46175.2386805556</v>
      </c>
      <c r="E35" s="3">
        <v>46175.2387962963</v>
      </c>
      <c r="F35" t="s">
        <v>25</v>
      </c>
      <c r="G35">
        <v>7.99</v>
      </c>
      <c r="H35">
        <v>250</v>
      </c>
      <c r="I35" s="4" t="str">
        <f>_xlfn.XLOOKUP(B35,users!A:A,users!C:C)</f>
        <v>BR</v>
      </c>
      <c r="J35" s="4" t="str">
        <f>_xlfn.XLOOKUP(B35,users!A:A,users!D:D)</f>
        <v>tablet</v>
      </c>
      <c r="K35" s="4" t="str">
        <f>_xlfn.XLOOKUP(C35,coin_packages!A:A,coin_packages!B:B)</f>
        <v>Medium</v>
      </c>
      <c r="L35" s="4" t="str">
        <f t="array" ref="L35">INDEX(coin_packages!$B$2:$B$5,MATCH(C35,coin_packages!$A$2:$A$5,0))</f>
        <v>Medium</v>
      </c>
      <c r="M35" s="4">
        <f t="shared" si="0"/>
        <v>7.99</v>
      </c>
      <c r="N35" s="4" t="b">
        <f t="shared" si="1"/>
        <v>0</v>
      </c>
      <c r="O35" s="4" t="b">
        <f>COUNTIF(refunds!$B$2:$B$15,A35)&gt;0</f>
        <v>0</v>
      </c>
      <c r="P35" s="4">
        <f>_xlfn.XLOOKUP(A35,refunds!$B$2:$B$15,refunds!$D$2:$D$15,0,0)</f>
        <v>0</v>
      </c>
      <c r="Q35" s="4" t="str">
        <f>IF(OR(payments[[#This Row],[completed_at]]="",payments[[#This Row],[completed_at]]=0),"",TEXT(payments[[#This Row],[completed_at]],"yyyy-mm"))</f>
        <v>2026-06</v>
      </c>
    </row>
    <row r="36" spans="1:17">
      <c r="A36">
        <v>19</v>
      </c>
      <c r="B36">
        <v>70</v>
      </c>
      <c r="C36">
        <v>1</v>
      </c>
      <c r="D36" s="3">
        <v>46151.0397222222</v>
      </c>
      <c r="E36" s="3">
        <v>46151.039837963</v>
      </c>
      <c r="F36" t="s">
        <v>25</v>
      </c>
      <c r="G36">
        <v>4.99</v>
      </c>
      <c r="H36">
        <v>100</v>
      </c>
      <c r="I36" s="4" t="str">
        <f>_xlfn.XLOOKUP(B36,users!A:A,users!C:C)</f>
        <v>BR</v>
      </c>
      <c r="J36" s="4" t="str">
        <f>_xlfn.XLOOKUP(B36,users!A:A,users!D:D)</f>
        <v>tablet</v>
      </c>
      <c r="K36" s="4" t="str">
        <f>_xlfn.XLOOKUP(C36,coin_packages!A:A,coin_packages!B:B)</f>
        <v>Small</v>
      </c>
      <c r="L36" s="4" t="str">
        <f t="array" ref="L36">INDEX(coin_packages!$B$2:$B$5,MATCH(C36,coin_packages!$A$2:$A$5,0))</f>
        <v>Small</v>
      </c>
      <c r="M36" s="4">
        <f t="shared" si="0"/>
        <v>4.99</v>
      </c>
      <c r="N36" s="4" t="b">
        <f t="shared" si="1"/>
        <v>0</v>
      </c>
      <c r="O36" s="4" t="b">
        <f>COUNTIF(refunds!$B$2:$B$15,A36)&gt;0</f>
        <v>0</v>
      </c>
      <c r="P36" s="4">
        <f>_xlfn.XLOOKUP(A36,refunds!$B$2:$B$15,refunds!$D$2:$D$15,0,0)</f>
        <v>0</v>
      </c>
      <c r="Q36" s="4" t="str">
        <f>IF(OR(payments[[#This Row],[completed_at]]="",payments[[#This Row],[completed_at]]=0),"",TEXT(payments[[#This Row],[completed_at]],"yyyy-mm"))</f>
        <v>2026-05</v>
      </c>
    </row>
    <row r="37" spans="1:17">
      <c r="A37">
        <v>21</v>
      </c>
      <c r="B37">
        <v>76</v>
      </c>
      <c r="C37">
        <v>3</v>
      </c>
      <c r="D37" s="3">
        <v>46072.281712963</v>
      </c>
      <c r="E37" s="3">
        <v>46072.2818287037</v>
      </c>
      <c r="F37" t="s">
        <v>25</v>
      </c>
      <c r="G37">
        <v>15.99</v>
      </c>
      <c r="H37">
        <v>600</v>
      </c>
      <c r="I37" s="4" t="str">
        <f>_xlfn.XLOOKUP(B37,users!A:A,users!C:C)</f>
        <v>DE</v>
      </c>
      <c r="J37" s="4" t="str">
        <f>_xlfn.XLOOKUP(B37,users!A:A,users!D:D)</f>
        <v>tablet</v>
      </c>
      <c r="K37" s="4" t="str">
        <f>_xlfn.XLOOKUP(C37,coin_packages!A:A,coin_packages!B:B)</f>
        <v>Large</v>
      </c>
      <c r="L37" s="4" t="str">
        <f t="array" ref="L37">INDEX(coin_packages!$B$2:$B$5,MATCH(C37,coin_packages!$A$2:$A$5,0))</f>
        <v>Large</v>
      </c>
      <c r="M37" s="4">
        <f t="shared" si="0"/>
        <v>15.99</v>
      </c>
      <c r="N37" s="4" t="b">
        <f t="shared" si="1"/>
        <v>0</v>
      </c>
      <c r="O37" s="4" t="b">
        <f>COUNTIF(refunds!$B$2:$B$15,A37)&gt;0</f>
        <v>0</v>
      </c>
      <c r="P37" s="4">
        <f>_xlfn.XLOOKUP(A37,refunds!$B$2:$B$15,refunds!$D$2:$D$15,0,0)</f>
        <v>0</v>
      </c>
      <c r="Q37" s="4" t="str">
        <f>IF(OR(payments[[#This Row],[completed_at]]="",payments[[#This Row],[completed_at]]=0),"",TEXT(payments[[#This Row],[completed_at]],"yyyy-mm"))</f>
        <v>2026-02</v>
      </c>
    </row>
    <row r="38" spans="1:17">
      <c r="A38">
        <v>23</v>
      </c>
      <c r="B38">
        <v>91</v>
      </c>
      <c r="C38">
        <v>2</v>
      </c>
      <c r="D38" s="3">
        <v>46092.7087615741</v>
      </c>
      <c r="E38" s="3">
        <v>46092.7088773148</v>
      </c>
      <c r="F38" t="s">
        <v>25</v>
      </c>
      <c r="G38">
        <v>9.99</v>
      </c>
      <c r="H38">
        <v>250</v>
      </c>
      <c r="I38" s="4" t="str">
        <f>_xlfn.XLOOKUP(B38,users!A:A,users!C:C)</f>
        <v>GB</v>
      </c>
      <c r="J38" s="4" t="str">
        <f>_xlfn.XLOOKUP(B38,users!A:A,users!D:D)</f>
        <v>mobile</v>
      </c>
      <c r="K38" s="4" t="str">
        <f>_xlfn.XLOOKUP(C38,coin_packages!A:A,coin_packages!B:B)</f>
        <v>Medium</v>
      </c>
      <c r="L38" s="4" t="str">
        <f t="array" ref="L38">INDEX(coin_packages!$B$2:$B$5,MATCH(C38,coin_packages!$A$2:$A$5,0))</f>
        <v>Medium</v>
      </c>
      <c r="M38" s="4">
        <f t="shared" si="0"/>
        <v>9.99</v>
      </c>
      <c r="N38" s="4" t="b">
        <f t="shared" si="1"/>
        <v>0</v>
      </c>
      <c r="O38" s="4" t="b">
        <f>COUNTIF(refunds!$B$2:$B$15,A38)&gt;0</f>
        <v>0</v>
      </c>
      <c r="P38" s="4">
        <f>_xlfn.XLOOKUP(A38,refunds!$B$2:$B$15,refunds!$D$2:$D$15,0,0)</f>
        <v>0</v>
      </c>
      <c r="Q38" s="4" t="str">
        <f>IF(OR(payments[[#This Row],[completed_at]]="",payments[[#This Row],[completed_at]]=0),"",TEXT(payments[[#This Row],[completed_at]],"yyyy-mm"))</f>
        <v>2026-03</v>
      </c>
    </row>
    <row r="39" spans="1:17">
      <c r="A39">
        <v>22</v>
      </c>
      <c r="B39">
        <v>91</v>
      </c>
      <c r="C39">
        <v>3</v>
      </c>
      <c r="D39" s="3">
        <v>46089.6598611111</v>
      </c>
      <c r="F39" t="s">
        <v>56</v>
      </c>
      <c r="G39">
        <v>19.99</v>
      </c>
      <c r="H39">
        <v>0</v>
      </c>
      <c r="I39" s="4" t="str">
        <f>_xlfn.XLOOKUP(B39,users!A:A,users!C:C)</f>
        <v>GB</v>
      </c>
      <c r="J39" s="4" t="str">
        <f>_xlfn.XLOOKUP(B39,users!A:A,users!D:D)</f>
        <v>mobile</v>
      </c>
      <c r="K39" s="4" t="str">
        <f>_xlfn.XLOOKUP(C39,coin_packages!A:A,coin_packages!B:B)</f>
        <v>Large</v>
      </c>
      <c r="L39" s="4" t="str">
        <f t="array" ref="L39">INDEX(coin_packages!$B$2:$B$5,MATCH(C39,coin_packages!$A$2:$A$5,0))</f>
        <v>Large</v>
      </c>
      <c r="M39" s="4">
        <f t="shared" si="0"/>
        <v>0</v>
      </c>
      <c r="N39" s="4" t="b">
        <f t="shared" si="1"/>
        <v>0</v>
      </c>
      <c r="O39" s="4" t="b">
        <f>COUNTIF(refunds!$B$2:$B$15,A39)&gt;0</f>
        <v>0</v>
      </c>
      <c r="P39" s="4">
        <f>_xlfn.XLOOKUP(A39,refunds!$B$2:$B$15,refunds!$D$2:$D$15,0,0)</f>
        <v>0</v>
      </c>
      <c r="Q39" s="4" t="str">
        <f>IF(OR(payments[[#This Row],[completed_at]]="",payments[[#This Row],[completed_at]]=0),"",TEXT(payments[[#This Row],[completed_at]],"yyyy-mm"))</f>
        <v/>
      </c>
    </row>
    <row r="40" spans="1:17">
      <c r="A40">
        <v>24</v>
      </c>
      <c r="B40">
        <v>99</v>
      </c>
      <c r="C40">
        <v>2</v>
      </c>
      <c r="D40" s="3">
        <v>46154.7027430556</v>
      </c>
      <c r="E40" s="3">
        <v>46154.7028587963</v>
      </c>
      <c r="F40" t="s">
        <v>25</v>
      </c>
      <c r="G40">
        <v>9.99</v>
      </c>
      <c r="H40">
        <v>250</v>
      </c>
      <c r="I40" s="4" t="str">
        <f>_xlfn.XLOOKUP(B40,users!A:A,users!C:C)</f>
        <v>DE</v>
      </c>
      <c r="J40" s="4" t="str">
        <f>_xlfn.XLOOKUP(B40,users!A:A,users!D:D)</f>
        <v>tablet</v>
      </c>
      <c r="K40" s="4" t="str">
        <f>_xlfn.XLOOKUP(C40,coin_packages!A:A,coin_packages!B:B)</f>
        <v>Medium</v>
      </c>
      <c r="L40" s="4" t="str">
        <f t="array" ref="L40">INDEX(coin_packages!$B$2:$B$5,MATCH(C40,coin_packages!$A$2:$A$5,0))</f>
        <v>Medium</v>
      </c>
      <c r="M40" s="4">
        <f t="shared" si="0"/>
        <v>9.99</v>
      </c>
      <c r="N40" s="4" t="b">
        <f t="shared" si="1"/>
        <v>0</v>
      </c>
      <c r="O40" s="4" t="b">
        <f>COUNTIF(refunds!$B$2:$B$15,A40)&gt;0</f>
        <v>0</v>
      </c>
      <c r="P40" s="4">
        <f>_xlfn.XLOOKUP(A40,refunds!$B$2:$B$15,refunds!$D$2:$D$15,0,0)</f>
        <v>0</v>
      </c>
      <c r="Q40" s="4" t="str">
        <f>IF(OR(payments[[#This Row],[completed_at]]="",payments[[#This Row],[completed_at]]=0),"",TEXT(payments[[#This Row],[completed_at]],"yyyy-mm"))</f>
        <v>2026-05</v>
      </c>
    </row>
    <row r="41" spans="1:17">
      <c r="A41">
        <v>26</v>
      </c>
      <c r="B41">
        <v>104</v>
      </c>
      <c r="C41">
        <v>3</v>
      </c>
      <c r="D41" s="3">
        <v>46155.267974537</v>
      </c>
      <c r="E41" s="3">
        <v>46155.2680902778</v>
      </c>
      <c r="F41" t="s">
        <v>25</v>
      </c>
      <c r="G41">
        <v>19.99</v>
      </c>
      <c r="H41">
        <v>600</v>
      </c>
      <c r="I41" s="4" t="str">
        <f>_xlfn.XLOOKUP(B41,users!A:A,users!C:C)</f>
        <v>BR</v>
      </c>
      <c r="J41" s="4" t="str">
        <f>_xlfn.XLOOKUP(B41,users!A:A,users!D:D)</f>
        <v>desktop</v>
      </c>
      <c r="K41" s="4" t="str">
        <f>_xlfn.XLOOKUP(C41,coin_packages!A:A,coin_packages!B:B)</f>
        <v>Large</v>
      </c>
      <c r="L41" s="4" t="str">
        <f t="array" ref="L41">INDEX(coin_packages!$B$2:$B$5,MATCH(C41,coin_packages!$A$2:$A$5,0))</f>
        <v>Large</v>
      </c>
      <c r="M41" s="4">
        <f t="shared" si="0"/>
        <v>19.99</v>
      </c>
      <c r="N41" s="4" t="b">
        <f t="shared" si="1"/>
        <v>0</v>
      </c>
      <c r="O41" s="4" t="b">
        <f>COUNTIF(refunds!$B$2:$B$15,A41)&gt;0</f>
        <v>0</v>
      </c>
      <c r="P41" s="4">
        <f>_xlfn.XLOOKUP(A41,refunds!$B$2:$B$15,refunds!$D$2:$D$15,0,0)</f>
        <v>0</v>
      </c>
      <c r="Q41" s="4" t="str">
        <f>IF(OR(payments[[#This Row],[completed_at]]="",payments[[#This Row],[completed_at]]=0),"",TEXT(payments[[#This Row],[completed_at]],"yyyy-mm"))</f>
        <v>2026-05</v>
      </c>
    </row>
    <row r="42" spans="1:17">
      <c r="A42">
        <v>25</v>
      </c>
      <c r="B42">
        <v>104</v>
      </c>
      <c r="C42">
        <v>3</v>
      </c>
      <c r="D42" s="3">
        <v>46153.7671064815</v>
      </c>
      <c r="F42" t="s">
        <v>56</v>
      </c>
      <c r="G42">
        <v>19.99</v>
      </c>
      <c r="H42">
        <v>0</v>
      </c>
      <c r="I42" s="4" t="str">
        <f>_xlfn.XLOOKUP(B42,users!A:A,users!C:C)</f>
        <v>BR</v>
      </c>
      <c r="J42" s="4" t="str">
        <f>_xlfn.XLOOKUP(B42,users!A:A,users!D:D)</f>
        <v>desktop</v>
      </c>
      <c r="K42" s="4" t="str">
        <f>_xlfn.XLOOKUP(C42,coin_packages!A:A,coin_packages!B:B)</f>
        <v>Large</v>
      </c>
      <c r="L42" s="4" t="str">
        <f t="array" ref="L42">INDEX(coin_packages!$B$2:$B$5,MATCH(C42,coin_packages!$A$2:$A$5,0))</f>
        <v>Large</v>
      </c>
      <c r="M42" s="4">
        <f t="shared" si="0"/>
        <v>0</v>
      </c>
      <c r="N42" s="4" t="b">
        <f t="shared" si="1"/>
        <v>0</v>
      </c>
      <c r="O42" s="4" t="b">
        <f>COUNTIF(refunds!$B$2:$B$15,A42)&gt;0</f>
        <v>0</v>
      </c>
      <c r="P42" s="4">
        <f>_xlfn.XLOOKUP(A42,refunds!$B$2:$B$15,refunds!$D$2:$D$15,0,0)</f>
        <v>0</v>
      </c>
      <c r="Q42" s="4" t="str">
        <f>IF(OR(payments[[#This Row],[completed_at]]="",payments[[#This Row],[completed_at]]=0),"",TEXT(payments[[#This Row],[completed_at]],"yyyy-mm"))</f>
        <v/>
      </c>
    </row>
    <row r="43" spans="1:17">
      <c r="A43">
        <v>28</v>
      </c>
      <c r="B43">
        <v>106</v>
      </c>
      <c r="C43">
        <v>2</v>
      </c>
      <c r="D43" s="3">
        <v>46186.5889699074</v>
      </c>
      <c r="E43" s="3">
        <v>46186.5890856481</v>
      </c>
      <c r="F43" t="s">
        <v>25</v>
      </c>
      <c r="G43">
        <v>9.99</v>
      </c>
      <c r="H43">
        <v>250</v>
      </c>
      <c r="I43" s="4" t="str">
        <f>_xlfn.XLOOKUP(B43,users!A:A,users!C:C)</f>
        <v>GB</v>
      </c>
      <c r="J43" s="4" t="str">
        <f>_xlfn.XLOOKUP(B43,users!A:A,users!D:D)</f>
        <v>mobile</v>
      </c>
      <c r="K43" s="4" t="str">
        <f>_xlfn.XLOOKUP(C43,coin_packages!A:A,coin_packages!B:B)</f>
        <v>Medium</v>
      </c>
      <c r="L43" s="4" t="str">
        <f t="array" ref="L43">INDEX(coin_packages!$B$2:$B$5,MATCH(C43,coin_packages!$A$2:$A$5,0))</f>
        <v>Medium</v>
      </c>
      <c r="M43" s="4">
        <f t="shared" si="0"/>
        <v>9.99</v>
      </c>
      <c r="N43" s="4" t="b">
        <f t="shared" si="1"/>
        <v>0</v>
      </c>
      <c r="O43" s="4" t="b">
        <f>COUNTIF(refunds!$B$2:$B$15,A43)&gt;0</f>
        <v>0</v>
      </c>
      <c r="P43" s="4">
        <f>_xlfn.XLOOKUP(A43,refunds!$B$2:$B$15,refunds!$D$2:$D$15,0,0)</f>
        <v>0</v>
      </c>
      <c r="Q43" s="4" t="str">
        <f>IF(OR(payments[[#This Row],[completed_at]]="",payments[[#This Row],[completed_at]]=0),"",TEXT(payments[[#This Row],[completed_at]],"yyyy-mm"))</f>
        <v>2026-06</v>
      </c>
    </row>
    <row r="44" spans="1:17">
      <c r="A44">
        <v>27</v>
      </c>
      <c r="B44">
        <v>106</v>
      </c>
      <c r="C44">
        <v>1</v>
      </c>
      <c r="D44" s="3">
        <v>46182.7831944444</v>
      </c>
      <c r="F44" t="s">
        <v>56</v>
      </c>
      <c r="G44">
        <v>4.99</v>
      </c>
      <c r="H44">
        <v>0</v>
      </c>
      <c r="I44" s="4" t="str">
        <f>_xlfn.XLOOKUP(B44,users!A:A,users!C:C)</f>
        <v>GB</v>
      </c>
      <c r="J44" s="4" t="str">
        <f>_xlfn.XLOOKUP(B44,users!A:A,users!D:D)</f>
        <v>mobile</v>
      </c>
      <c r="K44" s="4" t="str">
        <f>_xlfn.XLOOKUP(C44,coin_packages!A:A,coin_packages!B:B)</f>
        <v>Small</v>
      </c>
      <c r="L44" s="4" t="str">
        <f t="array" ref="L44">INDEX(coin_packages!$B$2:$B$5,MATCH(C44,coin_packages!$A$2:$A$5,0))</f>
        <v>Small</v>
      </c>
      <c r="M44" s="4">
        <f t="shared" si="0"/>
        <v>0</v>
      </c>
      <c r="N44" s="4" t="b">
        <f t="shared" si="1"/>
        <v>0</v>
      </c>
      <c r="O44" s="4" t="b">
        <f>COUNTIF(refunds!$B$2:$B$15,A44)&gt;0</f>
        <v>0</v>
      </c>
      <c r="P44" s="4">
        <f>_xlfn.XLOOKUP(A44,refunds!$B$2:$B$15,refunds!$D$2:$D$15,0,0)</f>
        <v>0</v>
      </c>
      <c r="Q44" s="4" t="str">
        <f>IF(OR(payments[[#This Row],[completed_at]]="",payments[[#This Row],[completed_at]]=0),"",TEXT(payments[[#This Row],[completed_at]],"yyyy-mm"))</f>
        <v/>
      </c>
    </row>
    <row r="45" spans="1:17">
      <c r="A45">
        <v>29</v>
      </c>
      <c r="B45">
        <v>107</v>
      </c>
      <c r="C45">
        <v>3</v>
      </c>
      <c r="D45" s="3">
        <v>46129.7549537037</v>
      </c>
      <c r="E45" s="3">
        <v>46129.7550694444</v>
      </c>
      <c r="F45" t="s">
        <v>25</v>
      </c>
      <c r="G45">
        <v>19.99</v>
      </c>
      <c r="H45">
        <v>600</v>
      </c>
      <c r="I45" s="4" t="str">
        <f>_xlfn.XLOOKUP(B45,users!A:A,users!C:C)</f>
        <v>UA</v>
      </c>
      <c r="J45" s="4" t="str">
        <f>_xlfn.XLOOKUP(B45,users!A:A,users!D:D)</f>
        <v>tablet</v>
      </c>
      <c r="K45" s="4" t="str">
        <f>_xlfn.XLOOKUP(C45,coin_packages!A:A,coin_packages!B:B)</f>
        <v>Large</v>
      </c>
      <c r="L45" s="4" t="str">
        <f t="array" ref="L45">INDEX(coin_packages!$B$2:$B$5,MATCH(C45,coin_packages!$A$2:$A$5,0))</f>
        <v>Large</v>
      </c>
      <c r="M45" s="4">
        <f t="shared" si="0"/>
        <v>19.99</v>
      </c>
      <c r="N45" s="4" t="b">
        <f t="shared" si="1"/>
        <v>0</v>
      </c>
      <c r="O45" s="4" t="b">
        <f>COUNTIF(refunds!$B$2:$B$15,A45)&gt;0</f>
        <v>0</v>
      </c>
      <c r="P45" s="4">
        <f>_xlfn.XLOOKUP(A45,refunds!$B$2:$B$15,refunds!$D$2:$D$15,0,0)</f>
        <v>0</v>
      </c>
      <c r="Q45" s="4" t="str">
        <f>IF(OR(payments[[#This Row],[completed_at]]="",payments[[#This Row],[completed_at]]=0),"",TEXT(payments[[#This Row],[completed_at]],"yyyy-mm"))</f>
        <v>2026-04</v>
      </c>
    </row>
    <row r="46" spans="1:17">
      <c r="A46">
        <v>31</v>
      </c>
      <c r="B46">
        <v>109</v>
      </c>
      <c r="C46">
        <v>1</v>
      </c>
      <c r="D46" s="3">
        <v>46170.2203935185</v>
      </c>
      <c r="E46" s="3">
        <v>46170.2205092593</v>
      </c>
      <c r="F46" t="s">
        <v>25</v>
      </c>
      <c r="G46">
        <v>4.99</v>
      </c>
      <c r="H46">
        <v>100</v>
      </c>
      <c r="I46" s="4" t="str">
        <f>_xlfn.XLOOKUP(B46,users!A:A,users!C:C)</f>
        <v>BR</v>
      </c>
      <c r="J46" s="4" t="str">
        <f>_xlfn.XLOOKUP(B46,users!A:A,users!D:D)</f>
        <v>desktop</v>
      </c>
      <c r="K46" s="4" t="str">
        <f>_xlfn.XLOOKUP(C46,coin_packages!A:A,coin_packages!B:B)</f>
        <v>Small</v>
      </c>
      <c r="L46" s="4" t="str">
        <f t="array" ref="L46">INDEX(coin_packages!$B$2:$B$5,MATCH(C46,coin_packages!$A$2:$A$5,0))</f>
        <v>Small</v>
      </c>
      <c r="M46" s="4">
        <f t="shared" si="0"/>
        <v>4.99</v>
      </c>
      <c r="N46" s="4" t="b">
        <f t="shared" si="1"/>
        <v>0</v>
      </c>
      <c r="O46" s="4" t="b">
        <f>COUNTIF(refunds!$B$2:$B$15,A46)&gt;0</f>
        <v>0</v>
      </c>
      <c r="P46" s="4">
        <f>_xlfn.XLOOKUP(A46,refunds!$B$2:$B$15,refunds!$D$2:$D$15,0,0)</f>
        <v>0</v>
      </c>
      <c r="Q46" s="4" t="str">
        <f>IF(OR(payments[[#This Row],[completed_at]]="",payments[[#This Row],[completed_at]]=0),"",TEXT(payments[[#This Row],[completed_at]],"yyyy-mm"))</f>
        <v>2026-05</v>
      </c>
    </row>
    <row r="47" spans="1:17">
      <c r="A47">
        <v>30</v>
      </c>
      <c r="B47">
        <v>109</v>
      </c>
      <c r="C47">
        <v>1</v>
      </c>
      <c r="D47" s="3">
        <v>46160.3509375</v>
      </c>
      <c r="F47" t="s">
        <v>56</v>
      </c>
      <c r="G47">
        <v>4.99</v>
      </c>
      <c r="H47">
        <v>0</v>
      </c>
      <c r="I47" s="4" t="str">
        <f>_xlfn.XLOOKUP(B47,users!A:A,users!C:C)</f>
        <v>BR</v>
      </c>
      <c r="J47" s="4" t="str">
        <f>_xlfn.XLOOKUP(B47,users!A:A,users!D:D)</f>
        <v>desktop</v>
      </c>
      <c r="K47" s="4" t="str">
        <f>_xlfn.XLOOKUP(C47,coin_packages!A:A,coin_packages!B:B)</f>
        <v>Small</v>
      </c>
      <c r="L47" s="4" t="str">
        <f t="array" ref="L47">INDEX(coin_packages!$B$2:$B$5,MATCH(C47,coin_packages!$A$2:$A$5,0))</f>
        <v>Small</v>
      </c>
      <c r="M47" s="4">
        <f t="shared" si="0"/>
        <v>0</v>
      </c>
      <c r="N47" s="4" t="b">
        <f t="shared" si="1"/>
        <v>0</v>
      </c>
      <c r="O47" s="4" t="b">
        <f>COUNTIF(refunds!$B$2:$B$15,A47)&gt;0</f>
        <v>0</v>
      </c>
      <c r="P47" s="4">
        <f>_xlfn.XLOOKUP(A47,refunds!$B$2:$B$15,refunds!$D$2:$D$15,0,0)</f>
        <v>0</v>
      </c>
      <c r="Q47" s="4" t="str">
        <f>IF(OR(payments[[#This Row],[completed_at]]="",payments[[#This Row],[completed_at]]=0),"",TEXT(payments[[#This Row],[completed_at]],"yyyy-mm"))</f>
        <v/>
      </c>
    </row>
    <row r="48" spans="1:17">
      <c r="A48">
        <v>32</v>
      </c>
      <c r="B48">
        <v>110</v>
      </c>
      <c r="C48">
        <v>2</v>
      </c>
      <c r="D48" s="3">
        <v>46184.8480092593</v>
      </c>
      <c r="E48" s="3">
        <v>46184.848125</v>
      </c>
      <c r="F48" t="s">
        <v>25</v>
      </c>
      <c r="G48">
        <v>7.99</v>
      </c>
      <c r="H48">
        <v>250</v>
      </c>
      <c r="I48" s="4" t="str">
        <f>_xlfn.XLOOKUP(B48,users!A:A,users!C:C)</f>
        <v>UA</v>
      </c>
      <c r="J48" s="4" t="str">
        <f>_xlfn.XLOOKUP(B48,users!A:A,users!D:D)</f>
        <v>desktop</v>
      </c>
      <c r="K48" s="4" t="str">
        <f>_xlfn.XLOOKUP(C48,coin_packages!A:A,coin_packages!B:B)</f>
        <v>Medium</v>
      </c>
      <c r="L48" s="4" t="str">
        <f t="array" ref="L48">INDEX(coin_packages!$B$2:$B$5,MATCH(C48,coin_packages!$A$2:$A$5,0))</f>
        <v>Medium</v>
      </c>
      <c r="M48" s="4">
        <f t="shared" si="0"/>
        <v>7.99</v>
      </c>
      <c r="N48" s="4" t="b">
        <f t="shared" si="1"/>
        <v>0</v>
      </c>
      <c r="O48" s="4" t="b">
        <f>COUNTIF(refunds!$B$2:$B$15,A48)&gt;0</f>
        <v>0</v>
      </c>
      <c r="P48" s="4">
        <f>_xlfn.XLOOKUP(A48,refunds!$B$2:$B$15,refunds!$D$2:$D$15,0,0)</f>
        <v>0</v>
      </c>
      <c r="Q48" s="4" t="str">
        <f>IF(OR(payments[[#This Row],[completed_at]]="",payments[[#This Row],[completed_at]]=0),"",TEXT(payments[[#This Row],[completed_at]],"yyyy-mm"))</f>
        <v>2026-06</v>
      </c>
    </row>
    <row r="49" spans="1:17">
      <c r="A49">
        <v>33</v>
      </c>
      <c r="B49">
        <v>115</v>
      </c>
      <c r="C49">
        <v>2</v>
      </c>
      <c r="D49" s="3">
        <v>46165.8925115741</v>
      </c>
      <c r="E49" s="3">
        <v>46165.8926273148</v>
      </c>
      <c r="F49" t="s">
        <v>25</v>
      </c>
      <c r="G49">
        <v>9.99</v>
      </c>
      <c r="H49">
        <v>250</v>
      </c>
      <c r="I49" s="4" t="str">
        <f>_xlfn.XLOOKUP(B49,users!A:A,users!C:C)</f>
        <v>DE</v>
      </c>
      <c r="J49" s="4" t="str">
        <f>_xlfn.XLOOKUP(B49,users!A:A,users!D:D)</f>
        <v>tablet</v>
      </c>
      <c r="K49" s="4" t="str">
        <f>_xlfn.XLOOKUP(C49,coin_packages!A:A,coin_packages!B:B)</f>
        <v>Medium</v>
      </c>
      <c r="L49" s="4" t="str">
        <f t="array" ref="L49">INDEX(coin_packages!$B$2:$B$5,MATCH(C49,coin_packages!$A$2:$A$5,0))</f>
        <v>Medium</v>
      </c>
      <c r="M49" s="4">
        <f t="shared" si="0"/>
        <v>9.99</v>
      </c>
      <c r="N49" s="4" t="b">
        <f t="shared" si="1"/>
        <v>0</v>
      </c>
      <c r="O49" s="4" t="b">
        <f>COUNTIF(refunds!$B$2:$B$15,A49)&gt;0</f>
        <v>0</v>
      </c>
      <c r="P49" s="4">
        <f>_xlfn.XLOOKUP(A49,refunds!$B$2:$B$15,refunds!$D$2:$D$15,0,0)</f>
        <v>0</v>
      </c>
      <c r="Q49" s="4" t="str">
        <f>IF(OR(payments[[#This Row],[completed_at]]="",payments[[#This Row],[completed_at]]=0),"",TEXT(payments[[#This Row],[completed_at]],"yyyy-mm"))</f>
        <v>2026-05</v>
      </c>
    </row>
    <row r="50" spans="1:17">
      <c r="A50">
        <v>35</v>
      </c>
      <c r="B50">
        <v>117</v>
      </c>
      <c r="C50">
        <v>2</v>
      </c>
      <c r="D50" s="3">
        <v>46121.7500462963</v>
      </c>
      <c r="E50" s="3">
        <v>46121.750162037</v>
      </c>
      <c r="F50" t="s">
        <v>25</v>
      </c>
      <c r="G50">
        <v>9.99</v>
      </c>
      <c r="H50">
        <v>250</v>
      </c>
      <c r="I50" s="4" t="str">
        <f>_xlfn.XLOOKUP(B50,users!A:A,users!C:C)</f>
        <v>BR</v>
      </c>
      <c r="J50" s="4" t="str">
        <f>_xlfn.XLOOKUP(B50,users!A:A,users!D:D)</f>
        <v>desktop</v>
      </c>
      <c r="K50" s="4" t="str">
        <f>_xlfn.XLOOKUP(C50,coin_packages!A:A,coin_packages!B:B)</f>
        <v>Medium</v>
      </c>
      <c r="L50" s="4" t="str">
        <f t="array" ref="L50">INDEX(coin_packages!$B$2:$B$5,MATCH(C50,coin_packages!$A$2:$A$5,0))</f>
        <v>Medium</v>
      </c>
      <c r="M50" s="4">
        <f t="shared" si="0"/>
        <v>9.99</v>
      </c>
      <c r="N50" s="4" t="b">
        <f t="shared" si="1"/>
        <v>0</v>
      </c>
      <c r="O50" s="4" t="b">
        <f>COUNTIF(refunds!$B$2:$B$15,A50)&gt;0</f>
        <v>0</v>
      </c>
      <c r="P50" s="4">
        <f>_xlfn.XLOOKUP(A50,refunds!$B$2:$B$15,refunds!$D$2:$D$15,0,0)</f>
        <v>0</v>
      </c>
      <c r="Q50" s="4" t="str">
        <f>IF(OR(payments[[#This Row],[completed_at]]="",payments[[#This Row],[completed_at]]=0),"",TEXT(payments[[#This Row],[completed_at]],"yyyy-mm"))</f>
        <v>2026-04</v>
      </c>
    </row>
    <row r="51" spans="1:17">
      <c r="A51">
        <v>34</v>
      </c>
      <c r="B51">
        <v>117</v>
      </c>
      <c r="C51">
        <v>3</v>
      </c>
      <c r="D51" s="3">
        <v>46116.5801851852</v>
      </c>
      <c r="F51" t="s">
        <v>56</v>
      </c>
      <c r="G51">
        <v>19.99</v>
      </c>
      <c r="H51">
        <v>0</v>
      </c>
      <c r="I51" s="4" t="str">
        <f>_xlfn.XLOOKUP(B51,users!A:A,users!C:C)</f>
        <v>BR</v>
      </c>
      <c r="J51" s="4" t="str">
        <f>_xlfn.XLOOKUP(B51,users!A:A,users!D:D)</f>
        <v>desktop</v>
      </c>
      <c r="K51" s="4" t="str">
        <f>_xlfn.XLOOKUP(C51,coin_packages!A:A,coin_packages!B:B)</f>
        <v>Large</v>
      </c>
      <c r="L51" s="4" t="str">
        <f t="array" ref="L51">INDEX(coin_packages!$B$2:$B$5,MATCH(C51,coin_packages!$A$2:$A$5,0))</f>
        <v>Large</v>
      </c>
      <c r="M51" s="4">
        <f t="shared" si="0"/>
        <v>0</v>
      </c>
      <c r="N51" s="4" t="b">
        <f t="shared" si="1"/>
        <v>0</v>
      </c>
      <c r="O51" s="4" t="b">
        <f>COUNTIF(refunds!$B$2:$B$15,A51)&gt;0</f>
        <v>0</v>
      </c>
      <c r="P51" s="4">
        <f>_xlfn.XLOOKUP(A51,refunds!$B$2:$B$15,refunds!$D$2:$D$15,0,0)</f>
        <v>0</v>
      </c>
      <c r="Q51" s="4" t="str">
        <f>IF(OR(payments[[#This Row],[completed_at]]="",payments[[#This Row],[completed_at]]=0),"",TEXT(payments[[#This Row],[completed_at]],"yyyy-mm"))</f>
        <v/>
      </c>
    </row>
    <row r="52" spans="1:17">
      <c r="A52">
        <v>37</v>
      </c>
      <c r="B52">
        <v>118</v>
      </c>
      <c r="C52">
        <v>2</v>
      </c>
      <c r="D52" s="3">
        <v>46100.2051157407</v>
      </c>
      <c r="E52" s="3">
        <v>46100.2052314815</v>
      </c>
      <c r="F52" t="s">
        <v>25</v>
      </c>
      <c r="G52">
        <v>9.99</v>
      </c>
      <c r="H52">
        <v>250</v>
      </c>
      <c r="I52" s="4" t="str">
        <f>_xlfn.XLOOKUP(B52,users!A:A,users!C:C)</f>
        <v>US</v>
      </c>
      <c r="J52" s="4" t="str">
        <f>_xlfn.XLOOKUP(B52,users!A:A,users!D:D)</f>
        <v>mobile</v>
      </c>
      <c r="K52" s="4" t="str">
        <f>_xlfn.XLOOKUP(C52,coin_packages!A:A,coin_packages!B:B)</f>
        <v>Medium</v>
      </c>
      <c r="L52" s="4" t="str">
        <f t="array" ref="L52">INDEX(coin_packages!$B$2:$B$5,MATCH(C52,coin_packages!$A$2:$A$5,0))</f>
        <v>Medium</v>
      </c>
      <c r="M52" s="4">
        <f t="shared" si="0"/>
        <v>9.99</v>
      </c>
      <c r="N52" s="4" t="b">
        <f t="shared" si="1"/>
        <v>1</v>
      </c>
      <c r="O52" s="4" t="b">
        <f>COUNTIF(refunds!$B$2:$B$15,A52)&gt;0</f>
        <v>0</v>
      </c>
      <c r="P52" s="4">
        <f>_xlfn.XLOOKUP(A52,refunds!$B$2:$B$15,refunds!$D$2:$D$15,0,0)</f>
        <v>0</v>
      </c>
      <c r="Q52" s="4" t="str">
        <f>IF(OR(payments[[#This Row],[completed_at]]="",payments[[#This Row],[completed_at]]=0),"",TEXT(payments[[#This Row],[completed_at]],"yyyy-mm"))</f>
        <v>2026-03</v>
      </c>
    </row>
    <row r="53" spans="1:17">
      <c r="A53">
        <v>36</v>
      </c>
      <c r="B53">
        <v>118</v>
      </c>
      <c r="C53">
        <v>1</v>
      </c>
      <c r="D53" s="3">
        <v>46085.980162037</v>
      </c>
      <c r="F53" t="s">
        <v>56</v>
      </c>
      <c r="G53">
        <v>4.99</v>
      </c>
      <c r="H53">
        <v>0</v>
      </c>
      <c r="I53" s="4" t="str">
        <f>_xlfn.XLOOKUP(B53,users!A:A,users!C:C)</f>
        <v>US</v>
      </c>
      <c r="J53" s="4" t="str">
        <f>_xlfn.XLOOKUP(B53,users!A:A,users!D:D)</f>
        <v>mobile</v>
      </c>
      <c r="K53" s="4" t="str">
        <f>_xlfn.XLOOKUP(C53,coin_packages!A:A,coin_packages!B:B)</f>
        <v>Small</v>
      </c>
      <c r="L53" s="4" t="str">
        <f t="array" ref="L53">INDEX(coin_packages!$B$2:$B$5,MATCH(C53,coin_packages!$A$2:$A$5,0))</f>
        <v>Small</v>
      </c>
      <c r="M53" s="4">
        <f t="shared" si="0"/>
        <v>0</v>
      </c>
      <c r="N53" s="4" t="b">
        <f t="shared" si="1"/>
        <v>0</v>
      </c>
      <c r="O53" s="4" t="b">
        <f>COUNTIF(refunds!$B$2:$B$15,A53)&gt;0</f>
        <v>0</v>
      </c>
      <c r="P53" s="4">
        <f>_xlfn.XLOOKUP(A53,refunds!$B$2:$B$15,refunds!$D$2:$D$15,0,0)</f>
        <v>0</v>
      </c>
      <c r="Q53" s="4" t="str">
        <f>IF(OR(payments[[#This Row],[completed_at]]="",payments[[#This Row],[completed_at]]=0),"",TEXT(payments[[#This Row],[completed_at]],"yyyy-mm"))</f>
        <v/>
      </c>
    </row>
    <row r="54" spans="1:17">
      <c r="A54">
        <v>38</v>
      </c>
      <c r="B54">
        <v>123</v>
      </c>
      <c r="C54">
        <v>1</v>
      </c>
      <c r="D54" s="3">
        <v>46170.4891087963</v>
      </c>
      <c r="E54" s="3">
        <v>46170.489224537</v>
      </c>
      <c r="F54" t="s">
        <v>25</v>
      </c>
      <c r="G54">
        <v>3.99</v>
      </c>
      <c r="H54">
        <v>100</v>
      </c>
      <c r="I54" s="4" t="str">
        <f>_xlfn.XLOOKUP(B54,users!A:A,users!C:C)</f>
        <v>UA</v>
      </c>
      <c r="J54" s="4" t="str">
        <f>_xlfn.XLOOKUP(B54,users!A:A,users!D:D)</f>
        <v>mobile</v>
      </c>
      <c r="K54" s="4" t="str">
        <f>_xlfn.XLOOKUP(C54,coin_packages!A:A,coin_packages!B:B)</f>
        <v>Small</v>
      </c>
      <c r="L54" s="4" t="str">
        <f t="array" ref="L54">INDEX(coin_packages!$B$2:$B$5,MATCH(C54,coin_packages!$A$2:$A$5,0))</f>
        <v>Small</v>
      </c>
      <c r="M54" s="4">
        <f t="shared" si="0"/>
        <v>3.99</v>
      </c>
      <c r="N54" s="4" t="b">
        <f t="shared" si="1"/>
        <v>0</v>
      </c>
      <c r="O54" s="4" t="b">
        <f>COUNTIF(refunds!$B$2:$B$15,A54)&gt;0</f>
        <v>0</v>
      </c>
      <c r="P54" s="4">
        <f>_xlfn.XLOOKUP(A54,refunds!$B$2:$B$15,refunds!$D$2:$D$15,0,0)</f>
        <v>0</v>
      </c>
      <c r="Q54" s="4" t="str">
        <f>IF(OR(payments[[#This Row],[completed_at]]="",payments[[#This Row],[completed_at]]=0),"",TEXT(payments[[#This Row],[completed_at]],"yyyy-mm"))</f>
        <v>2026-05</v>
      </c>
    </row>
    <row r="55" spans="1:17">
      <c r="A55">
        <v>39</v>
      </c>
      <c r="B55">
        <v>126</v>
      </c>
      <c r="C55">
        <v>3</v>
      </c>
      <c r="D55" s="3">
        <v>46112.2051851852</v>
      </c>
      <c r="E55" s="3">
        <v>46112.2053009259</v>
      </c>
      <c r="F55" t="s">
        <v>25</v>
      </c>
      <c r="G55">
        <v>19.99</v>
      </c>
      <c r="H55">
        <v>600</v>
      </c>
      <c r="I55" s="4" t="str">
        <f>_xlfn.XLOOKUP(B55,users!A:A,users!C:C)</f>
        <v>BR</v>
      </c>
      <c r="J55" s="4" t="str">
        <f>_xlfn.XLOOKUP(B55,users!A:A,users!D:D)</f>
        <v>desktop</v>
      </c>
      <c r="K55" s="4" t="str">
        <f>_xlfn.XLOOKUP(C55,coin_packages!A:A,coin_packages!B:B)</f>
        <v>Large</v>
      </c>
      <c r="L55" s="4" t="str">
        <f t="array" ref="L55">INDEX(coin_packages!$B$2:$B$5,MATCH(C55,coin_packages!$A$2:$A$5,0))</f>
        <v>Large</v>
      </c>
      <c r="M55" s="4">
        <f t="shared" si="0"/>
        <v>19.99</v>
      </c>
      <c r="N55" s="4" t="b">
        <f t="shared" si="1"/>
        <v>0</v>
      </c>
      <c r="O55" s="4" t="b">
        <f>COUNTIF(refunds!$B$2:$B$15,A55)&gt;0</f>
        <v>0</v>
      </c>
      <c r="P55" s="4">
        <f>_xlfn.XLOOKUP(A55,refunds!$B$2:$B$15,refunds!$D$2:$D$15,0,0)</f>
        <v>0</v>
      </c>
      <c r="Q55" s="4" t="str">
        <f>IF(OR(payments[[#This Row],[completed_at]]="",payments[[#This Row],[completed_at]]=0),"",TEXT(payments[[#This Row],[completed_at]],"yyyy-mm"))</f>
        <v>2026-03</v>
      </c>
    </row>
    <row r="56" spans="1:17">
      <c r="A56">
        <v>40</v>
      </c>
      <c r="B56">
        <v>135</v>
      </c>
      <c r="C56">
        <v>3</v>
      </c>
      <c r="D56" s="3">
        <v>46174.7149884259</v>
      </c>
      <c r="E56" s="3">
        <v>46174.7151041667</v>
      </c>
      <c r="F56" t="s">
        <v>25</v>
      </c>
      <c r="G56">
        <v>19.99</v>
      </c>
      <c r="H56">
        <v>600</v>
      </c>
      <c r="I56" s="4" t="str">
        <f>_xlfn.XLOOKUP(B56,users!A:A,users!C:C)</f>
        <v>GB</v>
      </c>
      <c r="J56" s="4" t="str">
        <f>_xlfn.XLOOKUP(B56,users!A:A,users!D:D)</f>
        <v>tablet</v>
      </c>
      <c r="K56" s="4" t="str">
        <f>_xlfn.XLOOKUP(C56,coin_packages!A:A,coin_packages!B:B)</f>
        <v>Large</v>
      </c>
      <c r="L56" s="4" t="str">
        <f t="array" ref="L56">INDEX(coin_packages!$B$2:$B$5,MATCH(C56,coin_packages!$A$2:$A$5,0))</f>
        <v>Large</v>
      </c>
      <c r="M56" s="4">
        <f t="shared" si="0"/>
        <v>19.99</v>
      </c>
      <c r="N56" s="4" t="b">
        <f t="shared" si="1"/>
        <v>0</v>
      </c>
      <c r="O56" s="4" t="b">
        <f>COUNTIF(refunds!$B$2:$B$15,A56)&gt;0</f>
        <v>0</v>
      </c>
      <c r="P56" s="4">
        <f>_xlfn.XLOOKUP(A56,refunds!$B$2:$B$15,refunds!$D$2:$D$15,0,0)</f>
        <v>0</v>
      </c>
      <c r="Q56" s="4" t="str">
        <f>IF(OR(payments[[#This Row],[completed_at]]="",payments[[#This Row],[completed_at]]=0),"",TEXT(payments[[#This Row],[completed_at]],"yyyy-mm"))</f>
        <v>2026-06</v>
      </c>
    </row>
    <row r="57" spans="1:17">
      <c r="A57">
        <v>41</v>
      </c>
      <c r="B57">
        <v>142</v>
      </c>
      <c r="C57">
        <v>3</v>
      </c>
      <c r="D57" s="3">
        <v>46195.1923148148</v>
      </c>
      <c r="E57" s="3">
        <v>46195.1924305556</v>
      </c>
      <c r="F57" t="s">
        <v>25</v>
      </c>
      <c r="G57">
        <v>19.99</v>
      </c>
      <c r="H57">
        <v>600</v>
      </c>
      <c r="I57" s="4" t="str">
        <f>_xlfn.XLOOKUP(B57,users!A:A,users!C:C)</f>
        <v>US</v>
      </c>
      <c r="J57" s="4" t="str">
        <f>_xlfn.XLOOKUP(B57,users!A:A,users!D:D)</f>
        <v>mobile</v>
      </c>
      <c r="K57" s="4" t="str">
        <f>_xlfn.XLOOKUP(C57,coin_packages!A:A,coin_packages!B:B)</f>
        <v>Large</v>
      </c>
      <c r="L57" s="4" t="str">
        <f t="array" ref="L57">INDEX(coin_packages!$B$2:$B$5,MATCH(C57,coin_packages!$A$2:$A$5,0))</f>
        <v>Large</v>
      </c>
      <c r="M57" s="4">
        <f t="shared" si="0"/>
        <v>19.99</v>
      </c>
      <c r="N57" s="4" t="b">
        <f t="shared" si="1"/>
        <v>1</v>
      </c>
      <c r="O57" s="4" t="b">
        <f>COUNTIF(refunds!$B$2:$B$15,A57)&gt;0</f>
        <v>0</v>
      </c>
      <c r="P57" s="4">
        <f>_xlfn.XLOOKUP(A57,refunds!$B$2:$B$15,refunds!$D$2:$D$15,0,0)</f>
        <v>0</v>
      </c>
      <c r="Q57" s="4" t="str">
        <f>IF(OR(payments[[#This Row],[completed_at]]="",payments[[#This Row],[completed_at]]=0),"",TEXT(payments[[#This Row],[completed_at]],"yyyy-mm"))</f>
        <v>2026-06</v>
      </c>
    </row>
    <row r="58" spans="1:17">
      <c r="A58">
        <v>42</v>
      </c>
      <c r="B58">
        <v>148</v>
      </c>
      <c r="C58">
        <v>2</v>
      </c>
      <c r="D58" s="3">
        <v>46188.5298148148</v>
      </c>
      <c r="E58" s="3">
        <v>46188.5299305556</v>
      </c>
      <c r="F58" t="s">
        <v>25</v>
      </c>
      <c r="G58">
        <v>9.99</v>
      </c>
      <c r="H58">
        <v>250</v>
      </c>
      <c r="I58" s="4" t="str">
        <f>_xlfn.XLOOKUP(B58,users!A:A,users!C:C)</f>
        <v>DE</v>
      </c>
      <c r="J58" s="4" t="str">
        <f>_xlfn.XLOOKUP(B58,users!A:A,users!D:D)</f>
        <v>mobile</v>
      </c>
      <c r="K58" s="4" t="str">
        <f>_xlfn.XLOOKUP(C58,coin_packages!A:A,coin_packages!B:B)</f>
        <v>Medium</v>
      </c>
      <c r="L58" s="4" t="str">
        <f t="array" ref="L58">INDEX(coin_packages!$B$2:$B$5,MATCH(C58,coin_packages!$A$2:$A$5,0))</f>
        <v>Medium</v>
      </c>
      <c r="M58" s="4">
        <f t="shared" si="0"/>
        <v>9.99</v>
      </c>
      <c r="N58" s="4" t="b">
        <f t="shared" si="1"/>
        <v>0</v>
      </c>
      <c r="O58" s="4" t="b">
        <f>COUNTIF(refunds!$B$2:$B$15,A58)&gt;0</f>
        <v>0</v>
      </c>
      <c r="P58" s="4">
        <f>_xlfn.XLOOKUP(A58,refunds!$B$2:$B$15,refunds!$D$2:$D$15,0,0)</f>
        <v>0</v>
      </c>
      <c r="Q58" s="4" t="str">
        <f>IF(OR(payments[[#This Row],[completed_at]]="",payments[[#This Row],[completed_at]]=0),"",TEXT(payments[[#This Row],[completed_at]],"yyyy-mm"))</f>
        <v>2026-06</v>
      </c>
    </row>
    <row r="59" spans="1:17">
      <c r="A59">
        <v>43</v>
      </c>
      <c r="B59">
        <v>152</v>
      </c>
      <c r="C59">
        <v>2</v>
      </c>
      <c r="D59" s="3">
        <v>46098.9827546296</v>
      </c>
      <c r="E59" s="3">
        <v>46098.9828703704</v>
      </c>
      <c r="F59" t="s">
        <v>25</v>
      </c>
      <c r="G59">
        <v>9.99</v>
      </c>
      <c r="H59">
        <v>250</v>
      </c>
      <c r="I59" s="4" t="str">
        <f>_xlfn.XLOOKUP(B59,users!A:A,users!C:C)</f>
        <v>UA</v>
      </c>
      <c r="J59" s="4" t="str">
        <f>_xlfn.XLOOKUP(B59,users!A:A,users!D:D)</f>
        <v>mobile</v>
      </c>
      <c r="K59" s="4" t="str">
        <f>_xlfn.XLOOKUP(C59,coin_packages!A:A,coin_packages!B:B)</f>
        <v>Medium</v>
      </c>
      <c r="L59" s="4" t="str">
        <f t="array" ref="L59">INDEX(coin_packages!$B$2:$B$5,MATCH(C59,coin_packages!$A$2:$A$5,0))</f>
        <v>Medium</v>
      </c>
      <c r="M59" s="4">
        <f t="shared" si="0"/>
        <v>9.99</v>
      </c>
      <c r="N59" s="4" t="b">
        <f t="shared" si="1"/>
        <v>0</v>
      </c>
      <c r="O59" s="4" t="b">
        <f>COUNTIF(refunds!$B$2:$B$15,A59)&gt;0</f>
        <v>0</v>
      </c>
      <c r="P59" s="4">
        <f>_xlfn.XLOOKUP(A59,refunds!$B$2:$B$15,refunds!$D$2:$D$15,0,0)</f>
        <v>0</v>
      </c>
      <c r="Q59" s="4" t="str">
        <f>IF(OR(payments[[#This Row],[completed_at]]="",payments[[#This Row],[completed_at]]=0),"",TEXT(payments[[#This Row],[completed_at]],"yyyy-mm"))</f>
        <v>2026-03</v>
      </c>
    </row>
    <row r="60" spans="1:17">
      <c r="A60">
        <v>44</v>
      </c>
      <c r="B60">
        <v>156</v>
      </c>
      <c r="C60">
        <v>2</v>
      </c>
      <c r="D60" s="3">
        <v>46162.1553703704</v>
      </c>
      <c r="E60" s="3">
        <v>46162.1554861111</v>
      </c>
      <c r="F60" t="s">
        <v>25</v>
      </c>
      <c r="G60">
        <v>9.99</v>
      </c>
      <c r="H60">
        <v>250</v>
      </c>
      <c r="I60" s="4" t="str">
        <f>_xlfn.XLOOKUP(B60,users!A:A,users!C:C)</f>
        <v>GB</v>
      </c>
      <c r="J60" s="4" t="str">
        <f>_xlfn.XLOOKUP(B60,users!A:A,users!D:D)</f>
        <v>desktop</v>
      </c>
      <c r="K60" s="4" t="str">
        <f>_xlfn.XLOOKUP(C60,coin_packages!A:A,coin_packages!B:B)</f>
        <v>Medium</v>
      </c>
      <c r="L60" s="4" t="str">
        <f t="array" ref="L60">INDEX(coin_packages!$B$2:$B$5,MATCH(C60,coin_packages!$A$2:$A$5,0))</f>
        <v>Medium</v>
      </c>
      <c r="M60" s="4">
        <f t="shared" si="0"/>
        <v>9.99</v>
      </c>
      <c r="N60" s="4" t="b">
        <f t="shared" si="1"/>
        <v>0</v>
      </c>
      <c r="O60" s="4" t="b">
        <f>COUNTIF(refunds!$B$2:$B$15,A60)&gt;0</f>
        <v>0</v>
      </c>
      <c r="P60" s="4">
        <f>_xlfn.XLOOKUP(A60,refunds!$B$2:$B$15,refunds!$D$2:$D$15,0,0)</f>
        <v>0</v>
      </c>
      <c r="Q60" s="4" t="str">
        <f>IF(OR(payments[[#This Row],[completed_at]]="",payments[[#This Row],[completed_at]]=0),"",TEXT(payments[[#This Row],[completed_at]],"yyyy-mm"))</f>
        <v>2026-05</v>
      </c>
    </row>
    <row r="61" spans="1:17">
      <c r="A61">
        <v>47</v>
      </c>
      <c r="B61">
        <v>161</v>
      </c>
      <c r="C61">
        <v>2</v>
      </c>
      <c r="D61" s="3">
        <v>46104.8636805556</v>
      </c>
      <c r="E61" s="3">
        <v>46104.8637962963</v>
      </c>
      <c r="F61" t="s">
        <v>25</v>
      </c>
      <c r="G61">
        <v>9.99</v>
      </c>
      <c r="H61">
        <v>250</v>
      </c>
      <c r="I61" s="4" t="str">
        <f>_xlfn.XLOOKUP(B61,users!A:A,users!C:C)</f>
        <v>US</v>
      </c>
      <c r="J61" s="4" t="str">
        <f>_xlfn.XLOOKUP(B61,users!A:A,users!D:D)</f>
        <v>mobile</v>
      </c>
      <c r="K61" s="4" t="str">
        <f>_xlfn.XLOOKUP(C61,coin_packages!A:A,coin_packages!B:B)</f>
        <v>Medium</v>
      </c>
      <c r="L61" s="4" t="str">
        <f t="array" ref="L61">INDEX(coin_packages!$B$2:$B$5,MATCH(C61,coin_packages!$A$2:$A$5,0))</f>
        <v>Medium</v>
      </c>
      <c r="M61" s="4">
        <f t="shared" si="0"/>
        <v>9.99</v>
      </c>
      <c r="N61" s="4" t="b">
        <f t="shared" si="1"/>
        <v>1</v>
      </c>
      <c r="O61" s="4" t="b">
        <f>COUNTIF(refunds!$B$2:$B$15,A61)&gt;0</f>
        <v>0</v>
      </c>
      <c r="P61" s="4">
        <f>_xlfn.XLOOKUP(A61,refunds!$B$2:$B$15,refunds!$D$2:$D$15,0,0)</f>
        <v>0</v>
      </c>
      <c r="Q61" s="4" t="str">
        <f>IF(OR(payments[[#This Row],[completed_at]]="",payments[[#This Row],[completed_at]]=0),"",TEXT(payments[[#This Row],[completed_at]],"yyyy-mm"))</f>
        <v>2026-03</v>
      </c>
    </row>
    <row r="62" spans="1:17">
      <c r="A62">
        <v>46</v>
      </c>
      <c r="B62">
        <v>161</v>
      </c>
      <c r="C62">
        <v>3</v>
      </c>
      <c r="D62" s="3">
        <v>46099.5033796296</v>
      </c>
      <c r="F62" t="s">
        <v>56</v>
      </c>
      <c r="G62">
        <v>19.99</v>
      </c>
      <c r="H62">
        <v>0</v>
      </c>
      <c r="I62" s="4" t="str">
        <f>_xlfn.XLOOKUP(B62,users!A:A,users!C:C)</f>
        <v>US</v>
      </c>
      <c r="J62" s="4" t="str">
        <f>_xlfn.XLOOKUP(B62,users!A:A,users!D:D)</f>
        <v>mobile</v>
      </c>
      <c r="K62" s="4" t="str">
        <f>_xlfn.XLOOKUP(C62,coin_packages!A:A,coin_packages!B:B)</f>
        <v>Large</v>
      </c>
      <c r="L62" s="4" t="str">
        <f t="array" ref="L62">INDEX(coin_packages!$B$2:$B$5,MATCH(C62,coin_packages!$A$2:$A$5,0))</f>
        <v>Large</v>
      </c>
      <c r="M62" s="4">
        <f t="shared" si="0"/>
        <v>0</v>
      </c>
      <c r="N62" s="4" t="b">
        <f t="shared" si="1"/>
        <v>0</v>
      </c>
      <c r="O62" s="4" t="b">
        <f>COUNTIF(refunds!$B$2:$B$15,A62)&gt;0</f>
        <v>0</v>
      </c>
      <c r="P62" s="4">
        <f>_xlfn.XLOOKUP(A62,refunds!$B$2:$B$15,refunds!$D$2:$D$15,0,0)</f>
        <v>0</v>
      </c>
      <c r="Q62" s="4" t="str">
        <f>IF(OR(payments[[#This Row],[completed_at]]="",payments[[#This Row],[completed_at]]=0),"",TEXT(payments[[#This Row],[completed_at]],"yyyy-mm"))</f>
        <v/>
      </c>
    </row>
    <row r="63" spans="1:17">
      <c r="A63">
        <v>45</v>
      </c>
      <c r="B63">
        <v>161</v>
      </c>
      <c r="C63">
        <v>3</v>
      </c>
      <c r="D63" s="3">
        <v>46083.9739814815</v>
      </c>
      <c r="F63" t="s">
        <v>56</v>
      </c>
      <c r="G63">
        <v>19.99</v>
      </c>
      <c r="H63">
        <v>0</v>
      </c>
      <c r="I63" s="4" t="str">
        <f>_xlfn.XLOOKUP(B63,users!A:A,users!C:C)</f>
        <v>US</v>
      </c>
      <c r="J63" s="4" t="str">
        <f>_xlfn.XLOOKUP(B63,users!A:A,users!D:D)</f>
        <v>mobile</v>
      </c>
      <c r="K63" s="4" t="str">
        <f>_xlfn.XLOOKUP(C63,coin_packages!A:A,coin_packages!B:B)</f>
        <v>Large</v>
      </c>
      <c r="L63" s="4" t="str">
        <f t="array" ref="L63">INDEX(coin_packages!$B$2:$B$5,MATCH(C63,coin_packages!$A$2:$A$5,0))</f>
        <v>Large</v>
      </c>
      <c r="M63" s="4">
        <f t="shared" si="0"/>
        <v>0</v>
      </c>
      <c r="N63" s="4" t="b">
        <f t="shared" si="1"/>
        <v>0</v>
      </c>
      <c r="O63" s="4" t="b">
        <f>COUNTIF(refunds!$B$2:$B$15,A63)&gt;0</f>
        <v>0</v>
      </c>
      <c r="P63" s="4">
        <f>_xlfn.XLOOKUP(A63,refunds!$B$2:$B$15,refunds!$D$2:$D$15,0,0)</f>
        <v>0</v>
      </c>
      <c r="Q63" s="4" t="str">
        <f>IF(OR(payments[[#This Row],[completed_at]]="",payments[[#This Row],[completed_at]]=0),"",TEXT(payments[[#This Row],[completed_at]],"yyyy-mm"))</f>
        <v/>
      </c>
    </row>
    <row r="64" spans="1:17">
      <c r="A64">
        <v>48</v>
      </c>
      <c r="B64">
        <v>162</v>
      </c>
      <c r="C64">
        <v>3</v>
      </c>
      <c r="D64" s="3">
        <v>46175.6741203704</v>
      </c>
      <c r="E64" s="3">
        <v>46175.6742361111</v>
      </c>
      <c r="F64" t="s">
        <v>25</v>
      </c>
      <c r="G64">
        <v>19.99</v>
      </c>
      <c r="H64">
        <v>600</v>
      </c>
      <c r="I64" s="4" t="str">
        <f>_xlfn.XLOOKUP(B64,users!A:A,users!C:C)</f>
        <v>US</v>
      </c>
      <c r="J64" s="4" t="str">
        <f>_xlfn.XLOOKUP(B64,users!A:A,users!D:D)</f>
        <v>mobile</v>
      </c>
      <c r="K64" s="4" t="str">
        <f>_xlfn.XLOOKUP(C64,coin_packages!A:A,coin_packages!B:B)</f>
        <v>Large</v>
      </c>
      <c r="L64" s="4" t="str">
        <f t="array" ref="L64">INDEX(coin_packages!$B$2:$B$5,MATCH(C64,coin_packages!$A$2:$A$5,0))</f>
        <v>Large</v>
      </c>
      <c r="M64" s="4">
        <f t="shared" si="0"/>
        <v>19.99</v>
      </c>
      <c r="N64" s="4" t="b">
        <f t="shared" si="1"/>
        <v>1</v>
      </c>
      <c r="O64" s="4" t="b">
        <f>COUNTIF(refunds!$B$2:$B$15,A64)&gt;0</f>
        <v>0</v>
      </c>
      <c r="P64" s="4">
        <f>_xlfn.XLOOKUP(A64,refunds!$B$2:$B$15,refunds!$D$2:$D$15,0,0)</f>
        <v>0</v>
      </c>
      <c r="Q64" s="4" t="str">
        <f>IF(OR(payments[[#This Row],[completed_at]]="",payments[[#This Row],[completed_at]]=0),"",TEXT(payments[[#This Row],[completed_at]],"yyyy-mm"))</f>
        <v>2026-06</v>
      </c>
    </row>
    <row r="65" spans="1:17">
      <c r="A65">
        <v>49</v>
      </c>
      <c r="B65">
        <v>163</v>
      </c>
      <c r="C65">
        <v>3</v>
      </c>
      <c r="D65" s="3">
        <v>46165.7230555556</v>
      </c>
      <c r="E65" s="3">
        <v>46165.7231712963</v>
      </c>
      <c r="F65" t="s">
        <v>25</v>
      </c>
      <c r="G65">
        <v>19.99</v>
      </c>
      <c r="H65">
        <v>600</v>
      </c>
      <c r="I65" s="4" t="str">
        <f>_xlfn.XLOOKUP(B65,users!A:A,users!C:C)</f>
        <v>BR</v>
      </c>
      <c r="J65" s="4" t="str">
        <f>_xlfn.XLOOKUP(B65,users!A:A,users!D:D)</f>
        <v>desktop</v>
      </c>
      <c r="K65" s="4" t="str">
        <f>_xlfn.XLOOKUP(C65,coin_packages!A:A,coin_packages!B:B)</f>
        <v>Large</v>
      </c>
      <c r="L65" s="4" t="str">
        <f t="array" ref="L65">INDEX(coin_packages!$B$2:$B$5,MATCH(C65,coin_packages!$A$2:$A$5,0))</f>
        <v>Large</v>
      </c>
      <c r="M65" s="4">
        <f t="shared" si="0"/>
        <v>19.99</v>
      </c>
      <c r="N65" s="4" t="b">
        <f t="shared" si="1"/>
        <v>0</v>
      </c>
      <c r="O65" s="4" t="b">
        <f>COUNTIF(refunds!$B$2:$B$15,A65)&gt;0</f>
        <v>0</v>
      </c>
      <c r="P65" s="4">
        <f>_xlfn.XLOOKUP(A65,refunds!$B$2:$B$15,refunds!$D$2:$D$15,0,0)</f>
        <v>0</v>
      </c>
      <c r="Q65" s="4" t="str">
        <f>IF(OR(payments[[#This Row],[completed_at]]="",payments[[#This Row],[completed_at]]=0),"",TEXT(payments[[#This Row],[completed_at]],"yyyy-mm"))</f>
        <v>2026-05</v>
      </c>
    </row>
    <row r="66" spans="1:17">
      <c r="A66">
        <v>50</v>
      </c>
      <c r="B66">
        <v>165</v>
      </c>
      <c r="C66">
        <v>2</v>
      </c>
      <c r="D66" s="3">
        <v>46197.012349537</v>
      </c>
      <c r="E66" s="3">
        <v>46197.0124652778</v>
      </c>
      <c r="F66" t="s">
        <v>25</v>
      </c>
      <c r="G66">
        <v>9.99</v>
      </c>
      <c r="H66">
        <v>250</v>
      </c>
      <c r="I66" s="4" t="str">
        <f>_xlfn.XLOOKUP(B66,users!A:A,users!C:C)</f>
        <v>US</v>
      </c>
      <c r="J66" s="4" t="str">
        <f>_xlfn.XLOOKUP(B66,users!A:A,users!D:D)</f>
        <v>tablet</v>
      </c>
      <c r="K66" s="4" t="str">
        <f>_xlfn.XLOOKUP(C66,coin_packages!A:A,coin_packages!B:B)</f>
        <v>Medium</v>
      </c>
      <c r="L66" s="4" t="str">
        <f t="array" ref="L66">INDEX(coin_packages!$B$2:$B$5,MATCH(C66,coin_packages!$A$2:$A$5,0))</f>
        <v>Medium</v>
      </c>
      <c r="M66" s="4">
        <f t="shared" ref="M66:M129" si="2">IF(F66="succeeded",G66,0)</f>
        <v>9.99</v>
      </c>
      <c r="N66" s="4" t="b">
        <f t="shared" ref="N66:N129" si="3">AND(F66="succeeded",I66="US",OR(J66="tablet",J66="mobile"))</f>
        <v>1</v>
      </c>
      <c r="O66" s="4" t="b">
        <f>COUNTIF(refunds!$B$2:$B$15,A66)&gt;0</f>
        <v>0</v>
      </c>
      <c r="P66" s="4">
        <f>_xlfn.XLOOKUP(A66,refunds!$B$2:$B$15,refunds!$D$2:$D$15,0,0)</f>
        <v>0</v>
      </c>
      <c r="Q66" s="4" t="str">
        <f>IF(OR(payments[[#This Row],[completed_at]]="",payments[[#This Row],[completed_at]]=0),"",TEXT(payments[[#This Row],[completed_at]],"yyyy-mm"))</f>
        <v>2026-06</v>
      </c>
    </row>
    <row r="67" spans="1:17">
      <c r="A67">
        <v>51</v>
      </c>
      <c r="B67">
        <v>175</v>
      </c>
      <c r="C67">
        <v>3</v>
      </c>
      <c r="D67" s="3">
        <v>46120.0926388889</v>
      </c>
      <c r="E67" s="3">
        <v>46120.0927546296</v>
      </c>
      <c r="F67" t="s">
        <v>25</v>
      </c>
      <c r="G67">
        <v>19.99</v>
      </c>
      <c r="H67">
        <v>600</v>
      </c>
      <c r="I67" s="4" t="str">
        <f>_xlfn.XLOOKUP(B67,users!A:A,users!C:C)</f>
        <v>DE</v>
      </c>
      <c r="J67" s="4" t="str">
        <f>_xlfn.XLOOKUP(B67,users!A:A,users!D:D)</f>
        <v>tablet</v>
      </c>
      <c r="K67" s="4" t="str">
        <f>_xlfn.XLOOKUP(C67,coin_packages!A:A,coin_packages!B:B)</f>
        <v>Large</v>
      </c>
      <c r="L67" s="4" t="str">
        <f t="array" ref="L67">INDEX(coin_packages!$B$2:$B$5,MATCH(C67,coin_packages!$A$2:$A$5,0))</f>
        <v>Large</v>
      </c>
      <c r="M67" s="4">
        <f t="shared" si="2"/>
        <v>19.99</v>
      </c>
      <c r="N67" s="4" t="b">
        <f t="shared" si="3"/>
        <v>0</v>
      </c>
      <c r="O67" s="4" t="b">
        <f>COUNTIF(refunds!$B$2:$B$15,A67)&gt;0</f>
        <v>0</v>
      </c>
      <c r="P67" s="4">
        <f>_xlfn.XLOOKUP(A67,refunds!$B$2:$B$15,refunds!$D$2:$D$15,0,0)</f>
        <v>0</v>
      </c>
      <c r="Q67" s="4" t="str">
        <f>IF(OR(payments[[#This Row],[completed_at]]="",payments[[#This Row],[completed_at]]=0),"",TEXT(payments[[#This Row],[completed_at]],"yyyy-mm"))</f>
        <v>2026-04</v>
      </c>
    </row>
    <row r="68" spans="1:17">
      <c r="A68">
        <v>52</v>
      </c>
      <c r="B68">
        <v>176</v>
      </c>
      <c r="C68">
        <v>3</v>
      </c>
      <c r="D68" s="3">
        <v>46186.3814699074</v>
      </c>
      <c r="E68" s="3">
        <v>46186.3815856481</v>
      </c>
      <c r="F68" t="s">
        <v>25</v>
      </c>
      <c r="G68">
        <v>19.99</v>
      </c>
      <c r="H68">
        <v>600</v>
      </c>
      <c r="I68" s="4" t="str">
        <f>_xlfn.XLOOKUP(B68,users!A:A,users!C:C)</f>
        <v>BR</v>
      </c>
      <c r="J68" s="4" t="str">
        <f>_xlfn.XLOOKUP(B68,users!A:A,users!D:D)</f>
        <v>desktop</v>
      </c>
      <c r="K68" s="4" t="str">
        <f>_xlfn.XLOOKUP(C68,coin_packages!A:A,coin_packages!B:B)</f>
        <v>Large</v>
      </c>
      <c r="L68" s="4" t="str">
        <f t="array" ref="L68">INDEX(coin_packages!$B$2:$B$5,MATCH(C68,coin_packages!$A$2:$A$5,0))</f>
        <v>Large</v>
      </c>
      <c r="M68" s="4">
        <f t="shared" si="2"/>
        <v>19.99</v>
      </c>
      <c r="N68" s="4" t="b">
        <f t="shared" si="3"/>
        <v>0</v>
      </c>
      <c r="O68" s="4" t="b">
        <f>COUNTIF(refunds!$B$2:$B$15,A68)&gt;0</f>
        <v>0</v>
      </c>
      <c r="P68" s="4">
        <f>_xlfn.XLOOKUP(A68,refunds!$B$2:$B$15,refunds!$D$2:$D$15,0,0)</f>
        <v>0</v>
      </c>
      <c r="Q68" s="4" t="str">
        <f>IF(OR(payments[[#This Row],[completed_at]]="",payments[[#This Row],[completed_at]]=0),"",TEXT(payments[[#This Row],[completed_at]],"yyyy-mm"))</f>
        <v>2026-06</v>
      </c>
    </row>
    <row r="69" spans="1:17">
      <c r="A69">
        <v>53</v>
      </c>
      <c r="B69">
        <v>178</v>
      </c>
      <c r="C69">
        <v>1</v>
      </c>
      <c r="D69" s="3">
        <v>46086.7041087963</v>
      </c>
      <c r="E69" s="3">
        <v>46086.704224537</v>
      </c>
      <c r="F69" t="s">
        <v>25</v>
      </c>
      <c r="G69">
        <v>4.99</v>
      </c>
      <c r="H69">
        <v>100</v>
      </c>
      <c r="I69" s="4" t="str">
        <f>_xlfn.XLOOKUP(B69,users!A:A,users!C:C)</f>
        <v>GB</v>
      </c>
      <c r="J69" s="4" t="str">
        <f>_xlfn.XLOOKUP(B69,users!A:A,users!D:D)</f>
        <v>tablet</v>
      </c>
      <c r="K69" s="4" t="str">
        <f>_xlfn.XLOOKUP(C69,coin_packages!A:A,coin_packages!B:B)</f>
        <v>Small</v>
      </c>
      <c r="L69" s="4" t="str">
        <f t="array" ref="L69">INDEX(coin_packages!$B$2:$B$5,MATCH(C69,coin_packages!$A$2:$A$5,0))</f>
        <v>Small</v>
      </c>
      <c r="M69" s="4">
        <f t="shared" si="2"/>
        <v>4.99</v>
      </c>
      <c r="N69" s="4" t="b">
        <f t="shared" si="3"/>
        <v>0</v>
      </c>
      <c r="O69" s="4" t="b">
        <f>COUNTIF(refunds!$B$2:$B$15,A69)&gt;0</f>
        <v>0</v>
      </c>
      <c r="P69" s="4">
        <f>_xlfn.XLOOKUP(A69,refunds!$B$2:$B$15,refunds!$D$2:$D$15,0,0)</f>
        <v>0</v>
      </c>
      <c r="Q69" s="4" t="str">
        <f>IF(OR(payments[[#This Row],[completed_at]]="",payments[[#This Row],[completed_at]]=0),"",TEXT(payments[[#This Row],[completed_at]],"yyyy-mm"))</f>
        <v>2026-03</v>
      </c>
    </row>
    <row r="70" spans="1:17">
      <c r="A70">
        <v>55</v>
      </c>
      <c r="B70">
        <v>179</v>
      </c>
      <c r="C70">
        <v>3</v>
      </c>
      <c r="D70" s="3">
        <v>46195.8062152778</v>
      </c>
      <c r="E70" s="3">
        <v>46195.8063310185</v>
      </c>
      <c r="F70" t="s">
        <v>25</v>
      </c>
      <c r="G70">
        <v>19.99</v>
      </c>
      <c r="H70">
        <v>600</v>
      </c>
      <c r="I70" s="4" t="str">
        <f>_xlfn.XLOOKUP(B70,users!A:A,users!C:C)</f>
        <v>DE</v>
      </c>
      <c r="J70" s="4" t="str">
        <f>_xlfn.XLOOKUP(B70,users!A:A,users!D:D)</f>
        <v>tablet</v>
      </c>
      <c r="K70" s="4" t="str">
        <f>_xlfn.XLOOKUP(C70,coin_packages!A:A,coin_packages!B:B)</f>
        <v>Large</v>
      </c>
      <c r="L70" s="4" t="str">
        <f t="array" ref="L70">INDEX(coin_packages!$B$2:$B$5,MATCH(C70,coin_packages!$A$2:$A$5,0))</f>
        <v>Large</v>
      </c>
      <c r="M70" s="4">
        <f t="shared" si="2"/>
        <v>19.99</v>
      </c>
      <c r="N70" s="4" t="b">
        <f t="shared" si="3"/>
        <v>0</v>
      </c>
      <c r="O70" s="4" t="b">
        <f>COUNTIF(refunds!$B$2:$B$15,A70)&gt;0</f>
        <v>0</v>
      </c>
      <c r="P70" s="4">
        <f>_xlfn.XLOOKUP(A70,refunds!$B$2:$B$15,refunds!$D$2:$D$15,0,0)</f>
        <v>0</v>
      </c>
      <c r="Q70" s="4" t="str">
        <f>IF(OR(payments[[#This Row],[completed_at]]="",payments[[#This Row],[completed_at]]=0),"",TEXT(payments[[#This Row],[completed_at]],"yyyy-mm"))</f>
        <v>2026-06</v>
      </c>
    </row>
    <row r="71" spans="1:17">
      <c r="A71">
        <v>54</v>
      </c>
      <c r="B71">
        <v>179</v>
      </c>
      <c r="C71">
        <v>2</v>
      </c>
      <c r="D71" s="3">
        <v>46134.8094907407</v>
      </c>
      <c r="F71" t="s">
        <v>56</v>
      </c>
      <c r="G71">
        <v>9.99</v>
      </c>
      <c r="H71">
        <v>0</v>
      </c>
      <c r="I71" s="4" t="str">
        <f>_xlfn.XLOOKUP(B71,users!A:A,users!C:C)</f>
        <v>DE</v>
      </c>
      <c r="J71" s="4" t="str">
        <f>_xlfn.XLOOKUP(B71,users!A:A,users!D:D)</f>
        <v>tablet</v>
      </c>
      <c r="K71" s="4" t="str">
        <f>_xlfn.XLOOKUP(C71,coin_packages!A:A,coin_packages!B:B)</f>
        <v>Medium</v>
      </c>
      <c r="L71" s="4" t="str">
        <f t="array" ref="L71">INDEX(coin_packages!$B$2:$B$5,MATCH(C71,coin_packages!$A$2:$A$5,0))</f>
        <v>Medium</v>
      </c>
      <c r="M71" s="4">
        <f t="shared" si="2"/>
        <v>0</v>
      </c>
      <c r="N71" s="4" t="b">
        <f t="shared" si="3"/>
        <v>0</v>
      </c>
      <c r="O71" s="4" t="b">
        <f>COUNTIF(refunds!$B$2:$B$15,A71)&gt;0</f>
        <v>0</v>
      </c>
      <c r="P71" s="4">
        <f>_xlfn.XLOOKUP(A71,refunds!$B$2:$B$15,refunds!$D$2:$D$15,0,0)</f>
        <v>0</v>
      </c>
      <c r="Q71" s="4" t="str">
        <f>IF(OR(payments[[#This Row],[completed_at]]="",payments[[#This Row],[completed_at]]=0),"",TEXT(payments[[#This Row],[completed_at]],"yyyy-mm"))</f>
        <v/>
      </c>
    </row>
    <row r="72" spans="1:17">
      <c r="A72">
        <v>56</v>
      </c>
      <c r="B72">
        <v>182</v>
      </c>
      <c r="C72">
        <v>1</v>
      </c>
      <c r="D72" s="3">
        <v>46147.7934143519</v>
      </c>
      <c r="E72" s="3">
        <v>46147.7935300926</v>
      </c>
      <c r="F72" t="s">
        <v>25</v>
      </c>
      <c r="G72">
        <v>4.99</v>
      </c>
      <c r="H72">
        <v>100</v>
      </c>
      <c r="I72" s="4" t="str">
        <f>_xlfn.XLOOKUP(B72,users!A:A,users!C:C)</f>
        <v>US</v>
      </c>
      <c r="J72" s="4" t="str">
        <f>_xlfn.XLOOKUP(B72,users!A:A,users!D:D)</f>
        <v>desktop</v>
      </c>
      <c r="K72" s="4" t="str">
        <f>_xlfn.XLOOKUP(C72,coin_packages!A:A,coin_packages!B:B)</f>
        <v>Small</v>
      </c>
      <c r="L72" s="4" t="str">
        <f t="array" ref="L72">INDEX(coin_packages!$B$2:$B$5,MATCH(C72,coin_packages!$A$2:$A$5,0))</f>
        <v>Small</v>
      </c>
      <c r="M72" s="4">
        <f t="shared" si="2"/>
        <v>4.99</v>
      </c>
      <c r="N72" s="4" t="b">
        <f t="shared" si="3"/>
        <v>0</v>
      </c>
      <c r="O72" s="4" t="b">
        <f>COUNTIF(refunds!$B$2:$B$15,A72)&gt;0</f>
        <v>0</v>
      </c>
      <c r="P72" s="4">
        <f>_xlfn.XLOOKUP(A72,refunds!$B$2:$B$15,refunds!$D$2:$D$15,0,0)</f>
        <v>0</v>
      </c>
      <c r="Q72" s="4" t="str">
        <f>IF(OR(payments[[#This Row],[completed_at]]="",payments[[#This Row],[completed_at]]=0),"",TEXT(payments[[#This Row],[completed_at]],"yyyy-mm"))</f>
        <v>2026-05</v>
      </c>
    </row>
    <row r="73" spans="1:17">
      <c r="A73">
        <v>57</v>
      </c>
      <c r="B73">
        <v>196</v>
      </c>
      <c r="C73">
        <v>2</v>
      </c>
      <c r="D73" s="3">
        <v>46161.9781018519</v>
      </c>
      <c r="E73" s="3">
        <v>46161.9782175926</v>
      </c>
      <c r="F73" t="s">
        <v>25</v>
      </c>
      <c r="G73">
        <v>9.99</v>
      </c>
      <c r="H73">
        <v>250</v>
      </c>
      <c r="I73" s="4" t="str">
        <f>_xlfn.XLOOKUP(B73,users!A:A,users!C:C)</f>
        <v>CA</v>
      </c>
      <c r="J73" s="4" t="str">
        <f>_xlfn.XLOOKUP(B73,users!A:A,users!D:D)</f>
        <v>mobile</v>
      </c>
      <c r="K73" s="4" t="str">
        <f>_xlfn.XLOOKUP(C73,coin_packages!A:A,coin_packages!B:B)</f>
        <v>Medium</v>
      </c>
      <c r="L73" s="4" t="str">
        <f t="array" ref="L73">INDEX(coin_packages!$B$2:$B$5,MATCH(C73,coin_packages!$A$2:$A$5,0))</f>
        <v>Medium</v>
      </c>
      <c r="M73" s="4">
        <f t="shared" si="2"/>
        <v>9.99</v>
      </c>
      <c r="N73" s="4" t="b">
        <f t="shared" si="3"/>
        <v>0</v>
      </c>
      <c r="O73" s="4" t="b">
        <f>COUNTIF(refunds!$B$2:$B$15,A73)&gt;0</f>
        <v>0</v>
      </c>
      <c r="P73" s="4">
        <f>_xlfn.XLOOKUP(A73,refunds!$B$2:$B$15,refunds!$D$2:$D$15,0,0)</f>
        <v>0</v>
      </c>
      <c r="Q73" s="4" t="str">
        <f>IF(OR(payments[[#This Row],[completed_at]]="",payments[[#This Row],[completed_at]]=0),"",TEXT(payments[[#This Row],[completed_at]],"yyyy-mm"))</f>
        <v>2026-05</v>
      </c>
    </row>
    <row r="74" spans="1:17">
      <c r="A74">
        <v>59</v>
      </c>
      <c r="B74">
        <v>199</v>
      </c>
      <c r="C74">
        <v>2</v>
      </c>
      <c r="D74" s="3">
        <v>46188.3699074074</v>
      </c>
      <c r="E74" s="3">
        <v>46188.3700231481</v>
      </c>
      <c r="F74" t="s">
        <v>25</v>
      </c>
      <c r="G74">
        <v>9.99</v>
      </c>
      <c r="H74">
        <v>250</v>
      </c>
      <c r="I74" s="4" t="str">
        <f>_xlfn.XLOOKUP(B74,users!A:A,users!C:C)</f>
        <v>UA</v>
      </c>
      <c r="J74" s="4" t="str">
        <f>_xlfn.XLOOKUP(B74,users!A:A,users!D:D)</f>
        <v>mobile</v>
      </c>
      <c r="K74" s="4" t="str">
        <f>_xlfn.XLOOKUP(C74,coin_packages!A:A,coin_packages!B:B)</f>
        <v>Medium</v>
      </c>
      <c r="L74" s="4" t="str">
        <f t="array" ref="L74">INDEX(coin_packages!$B$2:$B$5,MATCH(C74,coin_packages!$A$2:$A$5,0))</f>
        <v>Medium</v>
      </c>
      <c r="M74" s="4">
        <f t="shared" si="2"/>
        <v>9.99</v>
      </c>
      <c r="N74" s="4" t="b">
        <f t="shared" si="3"/>
        <v>0</v>
      </c>
      <c r="O74" s="4" t="b">
        <f>COUNTIF(refunds!$B$2:$B$15,A74)&gt;0</f>
        <v>0</v>
      </c>
      <c r="P74" s="4">
        <f>_xlfn.XLOOKUP(A74,refunds!$B$2:$B$15,refunds!$D$2:$D$15,0,0)</f>
        <v>0</v>
      </c>
      <c r="Q74" s="4" t="str">
        <f>IF(OR(payments[[#This Row],[completed_at]]="",payments[[#This Row],[completed_at]]=0),"",TEXT(payments[[#This Row],[completed_at]],"yyyy-mm"))</f>
        <v>2026-06</v>
      </c>
    </row>
    <row r="75" spans="1:17">
      <c r="A75">
        <v>58</v>
      </c>
      <c r="B75">
        <v>199</v>
      </c>
      <c r="C75">
        <v>1</v>
      </c>
      <c r="D75" s="3">
        <v>46151.7336689815</v>
      </c>
      <c r="E75" s="3">
        <v>46151.7337847222</v>
      </c>
      <c r="F75" t="s">
        <v>25</v>
      </c>
      <c r="G75">
        <v>4.99</v>
      </c>
      <c r="H75">
        <v>100</v>
      </c>
      <c r="I75" s="4" t="str">
        <f>_xlfn.XLOOKUP(B75,users!A:A,users!C:C)</f>
        <v>UA</v>
      </c>
      <c r="J75" s="4" t="str">
        <f>_xlfn.XLOOKUP(B75,users!A:A,users!D:D)</f>
        <v>mobile</v>
      </c>
      <c r="K75" s="4" t="str">
        <f>_xlfn.XLOOKUP(C75,coin_packages!A:A,coin_packages!B:B)</f>
        <v>Small</v>
      </c>
      <c r="L75" s="4" t="str">
        <f t="array" ref="L75">INDEX(coin_packages!$B$2:$B$5,MATCH(C75,coin_packages!$A$2:$A$5,0))</f>
        <v>Small</v>
      </c>
      <c r="M75" s="4">
        <f t="shared" si="2"/>
        <v>4.99</v>
      </c>
      <c r="N75" s="4" t="b">
        <f t="shared" si="3"/>
        <v>0</v>
      </c>
      <c r="O75" s="4" t="b">
        <f>COUNTIF(refunds!$B$2:$B$15,A75)&gt;0</f>
        <v>0</v>
      </c>
      <c r="P75" s="4">
        <f>_xlfn.XLOOKUP(A75,refunds!$B$2:$B$15,refunds!$D$2:$D$15,0,0)</f>
        <v>0</v>
      </c>
      <c r="Q75" s="4" t="str">
        <f>IF(OR(payments[[#This Row],[completed_at]]="",payments[[#This Row],[completed_at]]=0),"",TEXT(payments[[#This Row],[completed_at]],"yyyy-mm"))</f>
        <v>2026-05</v>
      </c>
    </row>
    <row r="76" spans="1:17">
      <c r="A76">
        <v>61</v>
      </c>
      <c r="B76">
        <v>212</v>
      </c>
      <c r="C76">
        <v>3</v>
      </c>
      <c r="D76" s="3">
        <v>46182.0835185185</v>
      </c>
      <c r="E76" s="3">
        <v>46182.0836342593</v>
      </c>
      <c r="F76" t="s">
        <v>25</v>
      </c>
      <c r="G76">
        <v>19.99</v>
      </c>
      <c r="H76">
        <v>600</v>
      </c>
      <c r="I76" s="4" t="str">
        <f>_xlfn.XLOOKUP(B76,users!A:A,users!C:C)</f>
        <v>US</v>
      </c>
      <c r="J76" s="4" t="str">
        <f>_xlfn.XLOOKUP(B76,users!A:A,users!D:D)</f>
        <v>desktop</v>
      </c>
      <c r="K76" s="4" t="str">
        <f>_xlfn.XLOOKUP(C76,coin_packages!A:A,coin_packages!B:B)</f>
        <v>Large</v>
      </c>
      <c r="L76" s="4" t="str">
        <f t="array" ref="L76">INDEX(coin_packages!$B$2:$B$5,MATCH(C76,coin_packages!$A$2:$A$5,0))</f>
        <v>Large</v>
      </c>
      <c r="M76" s="4">
        <f t="shared" si="2"/>
        <v>19.99</v>
      </c>
      <c r="N76" s="4" t="b">
        <f t="shared" si="3"/>
        <v>0</v>
      </c>
      <c r="O76" s="4" t="b">
        <f>COUNTIF(refunds!$B$2:$B$15,A76)&gt;0</f>
        <v>0</v>
      </c>
      <c r="P76" s="4">
        <f>_xlfn.XLOOKUP(A76,refunds!$B$2:$B$15,refunds!$D$2:$D$15,0,0)</f>
        <v>0</v>
      </c>
      <c r="Q76" s="4" t="str">
        <f>IF(OR(payments[[#This Row],[completed_at]]="",payments[[#This Row],[completed_at]]=0),"",TEXT(payments[[#This Row],[completed_at]],"yyyy-mm"))</f>
        <v>2026-06</v>
      </c>
    </row>
    <row r="77" spans="1:17">
      <c r="A77">
        <v>60</v>
      </c>
      <c r="B77">
        <v>212</v>
      </c>
      <c r="C77">
        <v>1</v>
      </c>
      <c r="D77" s="3">
        <v>46070.9681944444</v>
      </c>
      <c r="E77" s="3">
        <v>46070.9683101852</v>
      </c>
      <c r="F77" t="s">
        <v>25</v>
      </c>
      <c r="G77">
        <v>4.99</v>
      </c>
      <c r="H77">
        <v>100</v>
      </c>
      <c r="I77" s="4" t="str">
        <f>_xlfn.XLOOKUP(B77,users!A:A,users!C:C)</f>
        <v>US</v>
      </c>
      <c r="J77" s="4" t="str">
        <f>_xlfn.XLOOKUP(B77,users!A:A,users!D:D)</f>
        <v>desktop</v>
      </c>
      <c r="K77" s="4" t="str">
        <f>_xlfn.XLOOKUP(C77,coin_packages!A:A,coin_packages!B:B)</f>
        <v>Small</v>
      </c>
      <c r="L77" s="4" t="str">
        <f t="array" ref="L77">INDEX(coin_packages!$B$2:$B$5,MATCH(C77,coin_packages!$A$2:$A$5,0))</f>
        <v>Small</v>
      </c>
      <c r="M77" s="4">
        <f t="shared" si="2"/>
        <v>4.99</v>
      </c>
      <c r="N77" s="4" t="b">
        <f t="shared" si="3"/>
        <v>0</v>
      </c>
      <c r="O77" s="4" t="b">
        <f>COUNTIF(refunds!$B$2:$B$15,A77)&gt;0</f>
        <v>0</v>
      </c>
      <c r="P77" s="4">
        <f>_xlfn.XLOOKUP(A77,refunds!$B$2:$B$15,refunds!$D$2:$D$15,0,0)</f>
        <v>0</v>
      </c>
      <c r="Q77" s="4" t="str">
        <f>IF(OR(payments[[#This Row],[completed_at]]="",payments[[#This Row],[completed_at]]=0),"",TEXT(payments[[#This Row],[completed_at]],"yyyy-mm"))</f>
        <v>2026-02</v>
      </c>
    </row>
    <row r="78" spans="1:17">
      <c r="A78">
        <v>65</v>
      </c>
      <c r="B78">
        <v>214</v>
      </c>
      <c r="C78">
        <v>3</v>
      </c>
      <c r="D78" s="3">
        <v>46192.9940740741</v>
      </c>
      <c r="E78" s="3">
        <v>46192.9941898148</v>
      </c>
      <c r="F78" t="s">
        <v>25</v>
      </c>
      <c r="G78">
        <v>19.99</v>
      </c>
      <c r="H78">
        <v>600</v>
      </c>
      <c r="I78" s="4" t="str">
        <f>_xlfn.XLOOKUP(B78,users!A:A,users!C:C)</f>
        <v>UA</v>
      </c>
      <c r="J78" s="4" t="str">
        <f>_xlfn.XLOOKUP(B78,users!A:A,users!D:D)</f>
        <v>desktop</v>
      </c>
      <c r="K78" s="4" t="str">
        <f>_xlfn.XLOOKUP(C78,coin_packages!A:A,coin_packages!B:B)</f>
        <v>Large</v>
      </c>
      <c r="L78" s="4" t="str">
        <f t="array" ref="L78">INDEX(coin_packages!$B$2:$B$5,MATCH(C78,coin_packages!$A$2:$A$5,0))</f>
        <v>Large</v>
      </c>
      <c r="M78" s="4">
        <f t="shared" si="2"/>
        <v>19.99</v>
      </c>
      <c r="N78" s="4" t="b">
        <f t="shared" si="3"/>
        <v>0</v>
      </c>
      <c r="O78" s="4" t="b">
        <f>COUNTIF(refunds!$B$2:$B$15,A78)&gt;0</f>
        <v>0</v>
      </c>
      <c r="P78" s="4">
        <f>_xlfn.XLOOKUP(A78,refunds!$B$2:$B$15,refunds!$D$2:$D$15,0,0)</f>
        <v>0</v>
      </c>
      <c r="Q78" s="4" t="str">
        <f>IF(OR(payments[[#This Row],[completed_at]]="",payments[[#This Row],[completed_at]]=0),"",TEXT(payments[[#This Row],[completed_at]],"yyyy-mm"))</f>
        <v>2026-06</v>
      </c>
    </row>
    <row r="79" spans="1:17">
      <c r="A79">
        <v>64</v>
      </c>
      <c r="B79">
        <v>214</v>
      </c>
      <c r="C79">
        <v>3</v>
      </c>
      <c r="D79" s="3">
        <v>46191.3406712963</v>
      </c>
      <c r="F79" t="s">
        <v>56</v>
      </c>
      <c r="G79">
        <v>19.99</v>
      </c>
      <c r="H79">
        <v>0</v>
      </c>
      <c r="I79" s="4" t="str">
        <f>_xlfn.XLOOKUP(B79,users!A:A,users!C:C)</f>
        <v>UA</v>
      </c>
      <c r="J79" s="4" t="str">
        <f>_xlfn.XLOOKUP(B79,users!A:A,users!D:D)</f>
        <v>desktop</v>
      </c>
      <c r="K79" s="4" t="str">
        <f>_xlfn.XLOOKUP(C79,coin_packages!A:A,coin_packages!B:B)</f>
        <v>Large</v>
      </c>
      <c r="L79" s="4" t="str">
        <f t="array" ref="L79">INDEX(coin_packages!$B$2:$B$5,MATCH(C79,coin_packages!$A$2:$A$5,0))</f>
        <v>Large</v>
      </c>
      <c r="M79" s="4">
        <f t="shared" si="2"/>
        <v>0</v>
      </c>
      <c r="N79" s="4" t="b">
        <f t="shared" si="3"/>
        <v>0</v>
      </c>
      <c r="O79" s="4" t="b">
        <f>COUNTIF(refunds!$B$2:$B$15,A79)&gt;0</f>
        <v>0</v>
      </c>
      <c r="P79" s="4">
        <f>_xlfn.XLOOKUP(A79,refunds!$B$2:$B$15,refunds!$D$2:$D$15,0,0)</f>
        <v>0</v>
      </c>
      <c r="Q79" s="4" t="str">
        <f>IF(OR(payments[[#This Row],[completed_at]]="",payments[[#This Row],[completed_at]]=0),"",TEXT(payments[[#This Row],[completed_at]],"yyyy-mm"))</f>
        <v/>
      </c>
    </row>
    <row r="80" spans="1:17">
      <c r="A80">
        <v>63</v>
      </c>
      <c r="B80">
        <v>214</v>
      </c>
      <c r="C80">
        <v>2</v>
      </c>
      <c r="D80" s="3">
        <v>46183.1441898148</v>
      </c>
      <c r="E80" s="3">
        <v>46183.1443055556</v>
      </c>
      <c r="F80" t="s">
        <v>25</v>
      </c>
      <c r="G80">
        <v>9.99</v>
      </c>
      <c r="H80">
        <v>250</v>
      </c>
      <c r="I80" s="4" t="str">
        <f>_xlfn.XLOOKUP(B80,users!A:A,users!C:C)</f>
        <v>UA</v>
      </c>
      <c r="J80" s="4" t="str">
        <f>_xlfn.XLOOKUP(B80,users!A:A,users!D:D)</f>
        <v>desktop</v>
      </c>
      <c r="K80" s="4" t="str">
        <f>_xlfn.XLOOKUP(C80,coin_packages!A:A,coin_packages!B:B)</f>
        <v>Medium</v>
      </c>
      <c r="L80" s="4" t="str">
        <f t="array" ref="L80">INDEX(coin_packages!$B$2:$B$5,MATCH(C80,coin_packages!$A$2:$A$5,0))</f>
        <v>Medium</v>
      </c>
      <c r="M80" s="4">
        <f t="shared" si="2"/>
        <v>9.99</v>
      </c>
      <c r="N80" s="4" t="b">
        <f t="shared" si="3"/>
        <v>0</v>
      </c>
      <c r="O80" s="4" t="b">
        <f>COUNTIF(refunds!$B$2:$B$15,A80)&gt;0</f>
        <v>1</v>
      </c>
      <c r="P80" s="4">
        <f>_xlfn.XLOOKUP(A80,refunds!$B$2:$B$15,refunds!$D$2:$D$15,0,0)</f>
        <v>9.99</v>
      </c>
      <c r="Q80" s="4" t="str">
        <f>IF(OR(payments[[#This Row],[completed_at]]="",payments[[#This Row],[completed_at]]=0),"",TEXT(payments[[#This Row],[completed_at]],"yyyy-mm"))</f>
        <v>2026-06</v>
      </c>
    </row>
    <row r="81" spans="1:17">
      <c r="A81">
        <v>62</v>
      </c>
      <c r="B81">
        <v>214</v>
      </c>
      <c r="C81">
        <v>1</v>
      </c>
      <c r="D81" s="3">
        <v>46073.5727083333</v>
      </c>
      <c r="E81" s="3">
        <v>46073.5728240741</v>
      </c>
      <c r="F81" t="s">
        <v>25</v>
      </c>
      <c r="G81">
        <v>3.99</v>
      </c>
      <c r="H81">
        <v>100</v>
      </c>
      <c r="I81" s="4" t="str">
        <f>_xlfn.XLOOKUP(B81,users!A:A,users!C:C)</f>
        <v>UA</v>
      </c>
      <c r="J81" s="4" t="str">
        <f>_xlfn.XLOOKUP(B81,users!A:A,users!D:D)</f>
        <v>desktop</v>
      </c>
      <c r="K81" s="4" t="str">
        <f>_xlfn.XLOOKUP(C81,coin_packages!A:A,coin_packages!B:B)</f>
        <v>Small</v>
      </c>
      <c r="L81" s="4" t="str">
        <f t="array" ref="L81">INDEX(coin_packages!$B$2:$B$5,MATCH(C81,coin_packages!$A$2:$A$5,0))</f>
        <v>Small</v>
      </c>
      <c r="M81" s="4">
        <f t="shared" si="2"/>
        <v>3.99</v>
      </c>
      <c r="N81" s="4" t="b">
        <f t="shared" si="3"/>
        <v>0</v>
      </c>
      <c r="O81" s="4" t="b">
        <f>COUNTIF(refunds!$B$2:$B$15,A81)&gt;0</f>
        <v>0</v>
      </c>
      <c r="P81" s="4">
        <f>_xlfn.XLOOKUP(A81,refunds!$B$2:$B$15,refunds!$D$2:$D$15,0,0)</f>
        <v>0</v>
      </c>
      <c r="Q81" s="4" t="str">
        <f>IF(OR(payments[[#This Row],[completed_at]]="",payments[[#This Row],[completed_at]]=0),"",TEXT(payments[[#This Row],[completed_at]],"yyyy-mm"))</f>
        <v>2026-02</v>
      </c>
    </row>
    <row r="82" spans="1:17">
      <c r="A82">
        <v>66</v>
      </c>
      <c r="B82">
        <v>217</v>
      </c>
      <c r="C82">
        <v>3</v>
      </c>
      <c r="D82" s="3">
        <v>46152.5072222222</v>
      </c>
      <c r="E82" s="3">
        <v>46152.507337963</v>
      </c>
      <c r="F82" t="s">
        <v>25</v>
      </c>
      <c r="G82">
        <v>19.99</v>
      </c>
      <c r="H82">
        <v>600</v>
      </c>
      <c r="I82" s="4" t="str">
        <f>_xlfn.XLOOKUP(B82,users!A:A,users!C:C)</f>
        <v>GB</v>
      </c>
      <c r="J82" s="4" t="str">
        <f>_xlfn.XLOOKUP(B82,users!A:A,users!D:D)</f>
        <v>tablet</v>
      </c>
      <c r="K82" s="4" t="str">
        <f>_xlfn.XLOOKUP(C82,coin_packages!A:A,coin_packages!B:B)</f>
        <v>Large</v>
      </c>
      <c r="L82" s="4" t="str">
        <f t="array" ref="L82">INDEX(coin_packages!$B$2:$B$5,MATCH(C82,coin_packages!$A$2:$A$5,0))</f>
        <v>Large</v>
      </c>
      <c r="M82" s="4">
        <f t="shared" si="2"/>
        <v>19.99</v>
      </c>
      <c r="N82" s="4" t="b">
        <f t="shared" si="3"/>
        <v>0</v>
      </c>
      <c r="O82" s="4" t="b">
        <f>COUNTIF(refunds!$B$2:$B$15,A82)&gt;0</f>
        <v>0</v>
      </c>
      <c r="P82" s="4">
        <f>_xlfn.XLOOKUP(A82,refunds!$B$2:$B$15,refunds!$D$2:$D$15,0,0)</f>
        <v>0</v>
      </c>
      <c r="Q82" s="4" t="str">
        <f>IF(OR(payments[[#This Row],[completed_at]]="",payments[[#This Row],[completed_at]]=0),"",TEXT(payments[[#This Row],[completed_at]],"yyyy-mm"))</f>
        <v>2026-05</v>
      </c>
    </row>
    <row r="83" spans="1:17">
      <c r="A83">
        <v>68</v>
      </c>
      <c r="B83">
        <v>229</v>
      </c>
      <c r="C83">
        <v>2</v>
      </c>
      <c r="D83" s="3">
        <v>46160.7912268518</v>
      </c>
      <c r="E83" s="3">
        <v>46160.7913425926</v>
      </c>
      <c r="F83" t="s">
        <v>25</v>
      </c>
      <c r="G83">
        <v>9.99</v>
      </c>
      <c r="H83">
        <v>250</v>
      </c>
      <c r="I83" s="4" t="str">
        <f>_xlfn.XLOOKUP(B83,users!A:A,users!C:C)</f>
        <v>UA</v>
      </c>
      <c r="J83" s="4" t="str">
        <f>_xlfn.XLOOKUP(B83,users!A:A,users!D:D)</f>
        <v>mobile</v>
      </c>
      <c r="K83" s="4" t="str">
        <f>_xlfn.XLOOKUP(C83,coin_packages!A:A,coin_packages!B:B)</f>
        <v>Medium</v>
      </c>
      <c r="L83" s="4" t="str">
        <f t="array" ref="L83">INDEX(coin_packages!$B$2:$B$5,MATCH(C83,coin_packages!$A$2:$A$5,0))</f>
        <v>Medium</v>
      </c>
      <c r="M83" s="4">
        <f t="shared" si="2"/>
        <v>9.99</v>
      </c>
      <c r="N83" s="4" t="b">
        <f t="shared" si="3"/>
        <v>0</v>
      </c>
      <c r="O83" s="4" t="b">
        <f>COUNTIF(refunds!$B$2:$B$15,A83)&gt;0</f>
        <v>0</v>
      </c>
      <c r="P83" s="4">
        <f>_xlfn.XLOOKUP(A83,refunds!$B$2:$B$15,refunds!$D$2:$D$15,0,0)</f>
        <v>0</v>
      </c>
      <c r="Q83" s="4" t="str">
        <f>IF(OR(payments[[#This Row],[completed_at]]="",payments[[#This Row],[completed_at]]=0),"",TEXT(payments[[#This Row],[completed_at]],"yyyy-mm"))</f>
        <v>2026-05</v>
      </c>
    </row>
    <row r="84" spans="1:17">
      <c r="A84">
        <v>67</v>
      </c>
      <c r="B84">
        <v>229</v>
      </c>
      <c r="C84">
        <v>1</v>
      </c>
      <c r="D84" s="3">
        <v>46143.1025462963</v>
      </c>
      <c r="E84" s="3">
        <v>46143.102662037</v>
      </c>
      <c r="F84" t="s">
        <v>25</v>
      </c>
      <c r="G84">
        <v>4.99</v>
      </c>
      <c r="H84">
        <v>100</v>
      </c>
      <c r="I84" s="4" t="str">
        <f>_xlfn.XLOOKUP(B84,users!A:A,users!C:C)</f>
        <v>UA</v>
      </c>
      <c r="J84" s="4" t="str">
        <f>_xlfn.XLOOKUP(B84,users!A:A,users!D:D)</f>
        <v>mobile</v>
      </c>
      <c r="K84" s="4" t="str">
        <f>_xlfn.XLOOKUP(C84,coin_packages!A:A,coin_packages!B:B)</f>
        <v>Small</v>
      </c>
      <c r="L84" s="4" t="str">
        <f t="array" ref="L84">INDEX(coin_packages!$B$2:$B$5,MATCH(C84,coin_packages!$A$2:$A$5,0))</f>
        <v>Small</v>
      </c>
      <c r="M84" s="4">
        <f t="shared" si="2"/>
        <v>4.99</v>
      </c>
      <c r="N84" s="4" t="b">
        <f t="shared" si="3"/>
        <v>0</v>
      </c>
      <c r="O84" s="4" t="b">
        <f>COUNTIF(refunds!$B$2:$B$15,A84)&gt;0</f>
        <v>0</v>
      </c>
      <c r="P84" s="4">
        <f>_xlfn.XLOOKUP(A84,refunds!$B$2:$B$15,refunds!$D$2:$D$15,0,0)</f>
        <v>0</v>
      </c>
      <c r="Q84" s="4" t="str">
        <f>IF(OR(payments[[#This Row],[completed_at]]="",payments[[#This Row],[completed_at]]=0),"",TEXT(payments[[#This Row],[completed_at]],"yyyy-mm"))</f>
        <v>2026-05</v>
      </c>
    </row>
    <row r="85" spans="1:17">
      <c r="A85">
        <v>69</v>
      </c>
      <c r="B85">
        <v>230</v>
      </c>
      <c r="C85">
        <v>2</v>
      </c>
      <c r="D85" s="3">
        <v>46194.6740740741</v>
      </c>
      <c r="E85" s="3">
        <v>46194.6741898148</v>
      </c>
      <c r="F85" t="s">
        <v>25</v>
      </c>
      <c r="G85">
        <v>9.99</v>
      </c>
      <c r="H85">
        <v>250</v>
      </c>
      <c r="I85" s="4" t="str">
        <f>_xlfn.XLOOKUP(B85,users!A:A,users!C:C)</f>
        <v>BR</v>
      </c>
      <c r="J85" s="4" t="str">
        <f>_xlfn.XLOOKUP(B85,users!A:A,users!D:D)</f>
        <v>tablet</v>
      </c>
      <c r="K85" s="4" t="str">
        <f>_xlfn.XLOOKUP(C85,coin_packages!A:A,coin_packages!B:B)</f>
        <v>Medium</v>
      </c>
      <c r="L85" s="4" t="str">
        <f t="array" ref="L85">INDEX(coin_packages!$B$2:$B$5,MATCH(C85,coin_packages!$A$2:$A$5,0))</f>
        <v>Medium</v>
      </c>
      <c r="M85" s="4">
        <f t="shared" si="2"/>
        <v>9.99</v>
      </c>
      <c r="N85" s="4" t="b">
        <f t="shared" si="3"/>
        <v>0</v>
      </c>
      <c r="O85" s="4" t="b">
        <f>COUNTIF(refunds!$B$2:$B$15,A85)&gt;0</f>
        <v>0</v>
      </c>
      <c r="P85" s="4">
        <f>_xlfn.XLOOKUP(A85,refunds!$B$2:$B$15,refunds!$D$2:$D$15,0,0)</f>
        <v>0</v>
      </c>
      <c r="Q85" s="4" t="str">
        <f>IF(OR(payments[[#This Row],[completed_at]]="",payments[[#This Row],[completed_at]]=0),"",TEXT(payments[[#This Row],[completed_at]],"yyyy-mm"))</f>
        <v>2026-06</v>
      </c>
    </row>
    <row r="86" spans="1:17">
      <c r="A86">
        <v>71</v>
      </c>
      <c r="B86">
        <v>231</v>
      </c>
      <c r="C86">
        <v>3</v>
      </c>
      <c r="D86" s="3">
        <v>46190.5223958333</v>
      </c>
      <c r="E86" s="3">
        <v>46190.5225115741</v>
      </c>
      <c r="F86" t="s">
        <v>25</v>
      </c>
      <c r="G86">
        <v>19.99</v>
      </c>
      <c r="H86">
        <v>600</v>
      </c>
      <c r="I86" s="4" t="str">
        <f>_xlfn.XLOOKUP(B86,users!A:A,users!C:C)</f>
        <v>DE</v>
      </c>
      <c r="J86" s="4" t="str">
        <f>_xlfn.XLOOKUP(B86,users!A:A,users!D:D)</f>
        <v>mobile</v>
      </c>
      <c r="K86" s="4" t="str">
        <f>_xlfn.XLOOKUP(C86,coin_packages!A:A,coin_packages!B:B)</f>
        <v>Large</v>
      </c>
      <c r="L86" s="4" t="str">
        <f t="array" ref="L86">INDEX(coin_packages!$B$2:$B$5,MATCH(C86,coin_packages!$A$2:$A$5,0))</f>
        <v>Large</v>
      </c>
      <c r="M86" s="4">
        <f t="shared" si="2"/>
        <v>19.99</v>
      </c>
      <c r="N86" s="4" t="b">
        <f t="shared" si="3"/>
        <v>0</v>
      </c>
      <c r="O86" s="4" t="b">
        <f>COUNTIF(refunds!$B$2:$B$15,A86)&gt;0</f>
        <v>0</v>
      </c>
      <c r="P86" s="4">
        <f>_xlfn.XLOOKUP(A86,refunds!$B$2:$B$15,refunds!$D$2:$D$15,0,0)</f>
        <v>0</v>
      </c>
      <c r="Q86" s="4" t="str">
        <f>IF(OR(payments[[#This Row],[completed_at]]="",payments[[#This Row],[completed_at]]=0),"",TEXT(payments[[#This Row],[completed_at]],"yyyy-mm"))</f>
        <v>2026-06</v>
      </c>
    </row>
    <row r="87" spans="1:17">
      <c r="A87">
        <v>70</v>
      </c>
      <c r="B87">
        <v>231</v>
      </c>
      <c r="C87">
        <v>1</v>
      </c>
      <c r="D87" s="3">
        <v>46095.57125</v>
      </c>
      <c r="E87" s="3">
        <v>46095.5713657407</v>
      </c>
      <c r="F87" t="s">
        <v>25</v>
      </c>
      <c r="G87">
        <v>4.99</v>
      </c>
      <c r="H87">
        <v>100</v>
      </c>
      <c r="I87" s="4" t="str">
        <f>_xlfn.XLOOKUP(B87,users!A:A,users!C:C)</f>
        <v>DE</v>
      </c>
      <c r="J87" s="4" t="str">
        <f>_xlfn.XLOOKUP(B87,users!A:A,users!D:D)</f>
        <v>mobile</v>
      </c>
      <c r="K87" s="4" t="str">
        <f>_xlfn.XLOOKUP(C87,coin_packages!A:A,coin_packages!B:B)</f>
        <v>Small</v>
      </c>
      <c r="L87" s="4" t="str">
        <f t="array" ref="L87">INDEX(coin_packages!$B$2:$B$5,MATCH(C87,coin_packages!$A$2:$A$5,0))</f>
        <v>Small</v>
      </c>
      <c r="M87" s="4">
        <f t="shared" si="2"/>
        <v>4.99</v>
      </c>
      <c r="N87" s="4" t="b">
        <f t="shared" si="3"/>
        <v>0</v>
      </c>
      <c r="O87" s="4" t="b">
        <f>COUNTIF(refunds!$B$2:$B$15,A87)&gt;0</f>
        <v>0</v>
      </c>
      <c r="P87" s="4">
        <f>_xlfn.XLOOKUP(A87,refunds!$B$2:$B$15,refunds!$D$2:$D$15,0,0)</f>
        <v>0</v>
      </c>
      <c r="Q87" s="4" t="str">
        <f>IF(OR(payments[[#This Row],[completed_at]]="",payments[[#This Row],[completed_at]]=0),"",TEXT(payments[[#This Row],[completed_at]],"yyyy-mm"))</f>
        <v>2026-03</v>
      </c>
    </row>
    <row r="88" spans="1:17">
      <c r="A88">
        <v>73</v>
      </c>
      <c r="B88">
        <v>236</v>
      </c>
      <c r="C88">
        <v>1</v>
      </c>
      <c r="D88" s="3">
        <v>46198.3786689815</v>
      </c>
      <c r="E88" s="3">
        <v>46198.3787847222</v>
      </c>
      <c r="F88" t="s">
        <v>25</v>
      </c>
      <c r="G88">
        <v>4.99</v>
      </c>
      <c r="H88">
        <v>100</v>
      </c>
      <c r="I88" s="4" t="str">
        <f>_xlfn.XLOOKUP(B88,users!A:A,users!C:C)</f>
        <v>BR</v>
      </c>
      <c r="J88" s="4" t="str">
        <f>_xlfn.XLOOKUP(B88,users!A:A,users!D:D)</f>
        <v>desktop</v>
      </c>
      <c r="K88" s="4" t="str">
        <f>_xlfn.XLOOKUP(C88,coin_packages!A:A,coin_packages!B:B)</f>
        <v>Small</v>
      </c>
      <c r="L88" s="4" t="str">
        <f t="array" ref="L88">INDEX(coin_packages!$B$2:$B$5,MATCH(C88,coin_packages!$A$2:$A$5,0))</f>
        <v>Small</v>
      </c>
      <c r="M88" s="4">
        <f t="shared" si="2"/>
        <v>4.99</v>
      </c>
      <c r="N88" s="4" t="b">
        <f t="shared" si="3"/>
        <v>0</v>
      </c>
      <c r="O88" s="4" t="b">
        <f>COUNTIF(refunds!$B$2:$B$15,A88)&gt;0</f>
        <v>0</v>
      </c>
      <c r="P88" s="4">
        <f>_xlfn.XLOOKUP(A88,refunds!$B$2:$B$15,refunds!$D$2:$D$15,0,0)</f>
        <v>0</v>
      </c>
      <c r="Q88" s="4" t="str">
        <f>IF(OR(payments[[#This Row],[completed_at]]="",payments[[#This Row],[completed_at]]=0),"",TEXT(payments[[#This Row],[completed_at]],"yyyy-mm"))</f>
        <v>2026-06</v>
      </c>
    </row>
    <row r="89" spans="1:17">
      <c r="A89">
        <v>72</v>
      </c>
      <c r="B89">
        <v>236</v>
      </c>
      <c r="C89">
        <v>2</v>
      </c>
      <c r="D89" s="3">
        <v>46198.1622106481</v>
      </c>
      <c r="F89" t="s">
        <v>56</v>
      </c>
      <c r="G89">
        <v>9.99</v>
      </c>
      <c r="H89">
        <v>0</v>
      </c>
      <c r="I89" s="4" t="str">
        <f>_xlfn.XLOOKUP(B89,users!A:A,users!C:C)</f>
        <v>BR</v>
      </c>
      <c r="J89" s="4" t="str">
        <f>_xlfn.XLOOKUP(B89,users!A:A,users!D:D)</f>
        <v>desktop</v>
      </c>
      <c r="K89" s="4" t="str">
        <f>_xlfn.XLOOKUP(C89,coin_packages!A:A,coin_packages!B:B)</f>
        <v>Medium</v>
      </c>
      <c r="L89" s="4" t="str">
        <f t="array" ref="L89">INDEX(coin_packages!$B$2:$B$5,MATCH(C89,coin_packages!$A$2:$A$5,0))</f>
        <v>Medium</v>
      </c>
      <c r="M89" s="4">
        <f t="shared" si="2"/>
        <v>0</v>
      </c>
      <c r="N89" s="4" t="b">
        <f t="shared" si="3"/>
        <v>0</v>
      </c>
      <c r="O89" s="4" t="b">
        <f>COUNTIF(refunds!$B$2:$B$15,A89)&gt;0</f>
        <v>0</v>
      </c>
      <c r="P89" s="4">
        <f>_xlfn.XLOOKUP(A89,refunds!$B$2:$B$15,refunds!$D$2:$D$15,0,0)</f>
        <v>0</v>
      </c>
      <c r="Q89" s="4" t="str">
        <f>IF(OR(payments[[#This Row],[completed_at]]="",payments[[#This Row],[completed_at]]=0),"",TEXT(payments[[#This Row],[completed_at]],"yyyy-mm"))</f>
        <v/>
      </c>
    </row>
    <row r="90" spans="1:17">
      <c r="A90">
        <v>74</v>
      </c>
      <c r="B90">
        <v>239</v>
      </c>
      <c r="C90">
        <v>3</v>
      </c>
      <c r="D90" s="3">
        <v>46087.811412037</v>
      </c>
      <c r="E90" s="3">
        <v>46087.8115277778</v>
      </c>
      <c r="F90" t="s">
        <v>25</v>
      </c>
      <c r="G90">
        <v>19.99</v>
      </c>
      <c r="H90">
        <v>600</v>
      </c>
      <c r="I90" s="4" t="str">
        <f>_xlfn.XLOOKUP(B90,users!A:A,users!C:C)</f>
        <v>CA</v>
      </c>
      <c r="J90" s="4" t="str">
        <f>_xlfn.XLOOKUP(B90,users!A:A,users!D:D)</f>
        <v>tablet</v>
      </c>
      <c r="K90" s="4" t="str">
        <f>_xlfn.XLOOKUP(C90,coin_packages!A:A,coin_packages!B:B)</f>
        <v>Large</v>
      </c>
      <c r="L90" s="4" t="str">
        <f t="array" ref="L90">INDEX(coin_packages!$B$2:$B$5,MATCH(C90,coin_packages!$A$2:$A$5,0))</f>
        <v>Large</v>
      </c>
      <c r="M90" s="4">
        <f t="shared" si="2"/>
        <v>19.99</v>
      </c>
      <c r="N90" s="4" t="b">
        <f t="shared" si="3"/>
        <v>0</v>
      </c>
      <c r="O90" s="4" t="b">
        <f>COUNTIF(refunds!$B$2:$B$15,A90)&gt;0</f>
        <v>0</v>
      </c>
      <c r="P90" s="4">
        <f>_xlfn.XLOOKUP(A90,refunds!$B$2:$B$15,refunds!$D$2:$D$15,0,0)</f>
        <v>0</v>
      </c>
      <c r="Q90" s="4" t="str">
        <f>IF(OR(payments[[#This Row],[completed_at]]="",payments[[#This Row],[completed_at]]=0),"",TEXT(payments[[#This Row],[completed_at]],"yyyy-mm"))</f>
        <v>2026-03</v>
      </c>
    </row>
    <row r="91" spans="1:17">
      <c r="A91">
        <v>78</v>
      </c>
      <c r="B91">
        <v>246</v>
      </c>
      <c r="C91">
        <v>2</v>
      </c>
      <c r="D91" s="3">
        <v>46151.4857175926</v>
      </c>
      <c r="E91" s="3">
        <v>46151.4858333333</v>
      </c>
      <c r="F91" t="s">
        <v>25</v>
      </c>
      <c r="G91">
        <v>9.99</v>
      </c>
      <c r="H91">
        <v>250</v>
      </c>
      <c r="I91" s="4" t="str">
        <f>_xlfn.XLOOKUP(B91,users!A:A,users!C:C)</f>
        <v>US</v>
      </c>
      <c r="J91" s="4" t="str">
        <f>_xlfn.XLOOKUP(B91,users!A:A,users!D:D)</f>
        <v>mobile</v>
      </c>
      <c r="K91" s="4" t="str">
        <f>_xlfn.XLOOKUP(C91,coin_packages!A:A,coin_packages!B:B)</f>
        <v>Medium</v>
      </c>
      <c r="L91" s="4" t="str">
        <f t="array" ref="L91">INDEX(coin_packages!$B$2:$B$5,MATCH(C91,coin_packages!$A$2:$A$5,0))</f>
        <v>Medium</v>
      </c>
      <c r="M91" s="4">
        <f t="shared" si="2"/>
        <v>9.99</v>
      </c>
      <c r="N91" s="4" t="b">
        <f t="shared" si="3"/>
        <v>1</v>
      </c>
      <c r="O91" s="4" t="b">
        <f>COUNTIF(refunds!$B$2:$B$15,A91)&gt;0</f>
        <v>0</v>
      </c>
      <c r="P91" s="4">
        <f>_xlfn.XLOOKUP(A91,refunds!$B$2:$B$15,refunds!$D$2:$D$15,0,0)</f>
        <v>0</v>
      </c>
      <c r="Q91" s="4" t="str">
        <f>IF(OR(payments[[#This Row],[completed_at]]="",payments[[#This Row],[completed_at]]=0),"",TEXT(payments[[#This Row],[completed_at]],"yyyy-mm"))</f>
        <v>2026-05</v>
      </c>
    </row>
    <row r="92" spans="1:17">
      <c r="A92">
        <v>77</v>
      </c>
      <c r="B92">
        <v>246</v>
      </c>
      <c r="C92">
        <v>1</v>
      </c>
      <c r="D92" s="3">
        <v>46151.4341087963</v>
      </c>
      <c r="F92" t="s">
        <v>56</v>
      </c>
      <c r="G92">
        <v>4.99</v>
      </c>
      <c r="H92">
        <v>0</v>
      </c>
      <c r="I92" s="4" t="str">
        <f>_xlfn.XLOOKUP(B92,users!A:A,users!C:C)</f>
        <v>US</v>
      </c>
      <c r="J92" s="4" t="str">
        <f>_xlfn.XLOOKUP(B92,users!A:A,users!D:D)</f>
        <v>mobile</v>
      </c>
      <c r="K92" s="4" t="str">
        <f>_xlfn.XLOOKUP(C92,coin_packages!A:A,coin_packages!B:B)</f>
        <v>Small</v>
      </c>
      <c r="L92" s="4" t="str">
        <f t="array" ref="L92">INDEX(coin_packages!$B$2:$B$5,MATCH(C92,coin_packages!$A$2:$A$5,0))</f>
        <v>Small</v>
      </c>
      <c r="M92" s="4">
        <f t="shared" si="2"/>
        <v>0</v>
      </c>
      <c r="N92" s="4" t="b">
        <f t="shared" si="3"/>
        <v>0</v>
      </c>
      <c r="O92" s="4" t="b">
        <f>COUNTIF(refunds!$B$2:$B$15,A92)&gt;0</f>
        <v>0</v>
      </c>
      <c r="P92" s="4">
        <f>_xlfn.XLOOKUP(A92,refunds!$B$2:$B$15,refunds!$D$2:$D$15,0,0)</f>
        <v>0</v>
      </c>
      <c r="Q92" s="4" t="str">
        <f>IF(OR(payments[[#This Row],[completed_at]]="",payments[[#This Row],[completed_at]]=0),"",TEXT(payments[[#This Row],[completed_at]],"yyyy-mm"))</f>
        <v/>
      </c>
    </row>
    <row r="93" spans="1:17">
      <c r="A93">
        <v>76</v>
      </c>
      <c r="B93">
        <v>246</v>
      </c>
      <c r="C93">
        <v>2</v>
      </c>
      <c r="D93" s="3">
        <v>46151.0796759259</v>
      </c>
      <c r="F93" t="s">
        <v>56</v>
      </c>
      <c r="G93">
        <v>9.99</v>
      </c>
      <c r="H93">
        <v>0</v>
      </c>
      <c r="I93" s="4" t="str">
        <f>_xlfn.XLOOKUP(B93,users!A:A,users!C:C)</f>
        <v>US</v>
      </c>
      <c r="J93" s="4" t="str">
        <f>_xlfn.XLOOKUP(B93,users!A:A,users!D:D)</f>
        <v>mobile</v>
      </c>
      <c r="K93" s="4" t="str">
        <f>_xlfn.XLOOKUP(C93,coin_packages!A:A,coin_packages!B:B)</f>
        <v>Medium</v>
      </c>
      <c r="L93" s="4" t="str">
        <f t="array" ref="L93">INDEX(coin_packages!$B$2:$B$5,MATCH(C93,coin_packages!$A$2:$A$5,0))</f>
        <v>Medium</v>
      </c>
      <c r="M93" s="4">
        <f t="shared" si="2"/>
        <v>0</v>
      </c>
      <c r="N93" s="4" t="b">
        <f t="shared" si="3"/>
        <v>0</v>
      </c>
      <c r="O93" s="4" t="b">
        <f>COUNTIF(refunds!$B$2:$B$15,A93)&gt;0</f>
        <v>0</v>
      </c>
      <c r="P93" s="4">
        <f>_xlfn.XLOOKUP(A93,refunds!$B$2:$B$15,refunds!$D$2:$D$15,0,0)</f>
        <v>0</v>
      </c>
      <c r="Q93" s="4" t="str">
        <f>IF(OR(payments[[#This Row],[completed_at]]="",payments[[#This Row],[completed_at]]=0),"",TEXT(payments[[#This Row],[completed_at]],"yyyy-mm"))</f>
        <v/>
      </c>
    </row>
    <row r="94" spans="1:17">
      <c r="A94">
        <v>75</v>
      </c>
      <c r="B94">
        <v>246</v>
      </c>
      <c r="C94">
        <v>3</v>
      </c>
      <c r="D94" s="3">
        <v>46142.8821990741</v>
      </c>
      <c r="E94" s="3">
        <v>46142.8823148148</v>
      </c>
      <c r="F94" t="s">
        <v>25</v>
      </c>
      <c r="G94">
        <v>19.99</v>
      </c>
      <c r="H94">
        <v>600</v>
      </c>
      <c r="I94" s="4" t="str">
        <f>_xlfn.XLOOKUP(B94,users!A:A,users!C:C)</f>
        <v>US</v>
      </c>
      <c r="J94" s="4" t="str">
        <f>_xlfn.XLOOKUP(B94,users!A:A,users!D:D)</f>
        <v>mobile</v>
      </c>
      <c r="K94" s="4" t="str">
        <f>_xlfn.XLOOKUP(C94,coin_packages!A:A,coin_packages!B:B)</f>
        <v>Large</v>
      </c>
      <c r="L94" s="4" t="str">
        <f t="array" ref="L94">INDEX(coin_packages!$B$2:$B$5,MATCH(C94,coin_packages!$A$2:$A$5,0))</f>
        <v>Large</v>
      </c>
      <c r="M94" s="4">
        <f t="shared" si="2"/>
        <v>19.99</v>
      </c>
      <c r="N94" s="4" t="b">
        <f t="shared" si="3"/>
        <v>1</v>
      </c>
      <c r="O94" s="4" t="b">
        <f>COUNTIF(refunds!$B$2:$B$15,A94)&gt;0</f>
        <v>1</v>
      </c>
      <c r="P94" s="4">
        <f>_xlfn.XLOOKUP(A94,refunds!$B$2:$B$15,refunds!$D$2:$D$15,0,0)</f>
        <v>19.99</v>
      </c>
      <c r="Q94" s="4" t="str">
        <f>IF(OR(payments[[#This Row],[completed_at]]="",payments[[#This Row],[completed_at]]=0),"",TEXT(payments[[#This Row],[completed_at]],"yyyy-mm"))</f>
        <v>2026-04</v>
      </c>
    </row>
    <row r="95" spans="1:17">
      <c r="A95">
        <v>79</v>
      </c>
      <c r="B95">
        <v>247</v>
      </c>
      <c r="C95">
        <v>3</v>
      </c>
      <c r="D95" s="3">
        <v>46169.0851736111</v>
      </c>
      <c r="E95" s="3">
        <v>46169.0852893519</v>
      </c>
      <c r="F95" t="s">
        <v>25</v>
      </c>
      <c r="G95">
        <v>19.99</v>
      </c>
      <c r="H95">
        <v>600</v>
      </c>
      <c r="I95" s="4" t="str">
        <f>_xlfn.XLOOKUP(B95,users!A:A,users!C:C)</f>
        <v>US</v>
      </c>
      <c r="J95" s="4" t="str">
        <f>_xlfn.XLOOKUP(B95,users!A:A,users!D:D)</f>
        <v>mobile</v>
      </c>
      <c r="K95" s="4" t="str">
        <f>_xlfn.XLOOKUP(C95,coin_packages!A:A,coin_packages!B:B)</f>
        <v>Large</v>
      </c>
      <c r="L95" s="4" t="str">
        <f t="array" ref="L95">INDEX(coin_packages!$B$2:$B$5,MATCH(C95,coin_packages!$A$2:$A$5,0))</f>
        <v>Large</v>
      </c>
      <c r="M95" s="4">
        <f t="shared" si="2"/>
        <v>19.99</v>
      </c>
      <c r="N95" s="4" t="b">
        <f t="shared" si="3"/>
        <v>1</v>
      </c>
      <c r="O95" s="4" t="b">
        <f>COUNTIF(refunds!$B$2:$B$15,A95)&gt;0</f>
        <v>0</v>
      </c>
      <c r="P95" s="4">
        <f>_xlfn.XLOOKUP(A95,refunds!$B$2:$B$15,refunds!$D$2:$D$15,0,0)</f>
        <v>0</v>
      </c>
      <c r="Q95" s="4" t="str">
        <f>IF(OR(payments[[#This Row],[completed_at]]="",payments[[#This Row],[completed_at]]=0),"",TEXT(payments[[#This Row],[completed_at]],"yyyy-mm"))</f>
        <v>2026-05</v>
      </c>
    </row>
    <row r="96" spans="1:17">
      <c r="A96">
        <v>80</v>
      </c>
      <c r="B96">
        <v>249</v>
      </c>
      <c r="C96">
        <v>2</v>
      </c>
      <c r="D96" s="3">
        <v>46112.4460300926</v>
      </c>
      <c r="E96" s="3">
        <v>46112.4461458333</v>
      </c>
      <c r="F96" t="s">
        <v>25</v>
      </c>
      <c r="G96">
        <v>9.99</v>
      </c>
      <c r="H96">
        <v>250</v>
      </c>
      <c r="I96" s="4" t="str">
        <f>_xlfn.XLOOKUP(B96,users!A:A,users!C:C)</f>
        <v>US</v>
      </c>
      <c r="J96" s="4" t="str">
        <f>_xlfn.XLOOKUP(B96,users!A:A,users!D:D)</f>
        <v>tablet</v>
      </c>
      <c r="K96" s="4" t="str">
        <f>_xlfn.XLOOKUP(C96,coin_packages!A:A,coin_packages!B:B)</f>
        <v>Medium</v>
      </c>
      <c r="L96" s="4" t="str">
        <f t="array" ref="L96">INDEX(coin_packages!$B$2:$B$5,MATCH(C96,coin_packages!$A$2:$A$5,0))</f>
        <v>Medium</v>
      </c>
      <c r="M96" s="4">
        <f t="shared" si="2"/>
        <v>9.99</v>
      </c>
      <c r="N96" s="4" t="b">
        <f t="shared" si="3"/>
        <v>1</v>
      </c>
      <c r="O96" s="4" t="b">
        <f>COUNTIF(refunds!$B$2:$B$15,A96)&gt;0</f>
        <v>0</v>
      </c>
      <c r="P96" s="4">
        <f>_xlfn.XLOOKUP(A96,refunds!$B$2:$B$15,refunds!$D$2:$D$15,0,0)</f>
        <v>0</v>
      </c>
      <c r="Q96" s="4" t="str">
        <f>IF(OR(payments[[#This Row],[completed_at]]="",payments[[#This Row],[completed_at]]=0),"",TEXT(payments[[#This Row],[completed_at]],"yyyy-mm"))</f>
        <v>2026-03</v>
      </c>
    </row>
    <row r="97" spans="1:17">
      <c r="A97">
        <v>82</v>
      </c>
      <c r="B97">
        <v>252</v>
      </c>
      <c r="C97">
        <v>3</v>
      </c>
      <c r="D97" s="3">
        <v>46045.4052314815</v>
      </c>
      <c r="E97" s="3">
        <v>46045.4053472222</v>
      </c>
      <c r="F97" t="s">
        <v>25</v>
      </c>
      <c r="G97">
        <v>19.99</v>
      </c>
      <c r="H97">
        <v>600</v>
      </c>
      <c r="I97" s="4" t="str">
        <f>_xlfn.XLOOKUP(B97,users!A:A,users!C:C)</f>
        <v>BR</v>
      </c>
      <c r="J97" s="4" t="str">
        <f>_xlfn.XLOOKUP(B97,users!A:A,users!D:D)</f>
        <v>tablet</v>
      </c>
      <c r="K97" s="4" t="str">
        <f>_xlfn.XLOOKUP(C97,coin_packages!A:A,coin_packages!B:B)</f>
        <v>Large</v>
      </c>
      <c r="L97" s="4" t="str">
        <f t="array" ref="L97">INDEX(coin_packages!$B$2:$B$5,MATCH(C97,coin_packages!$A$2:$A$5,0))</f>
        <v>Large</v>
      </c>
      <c r="M97" s="4">
        <f t="shared" si="2"/>
        <v>19.99</v>
      </c>
      <c r="N97" s="4" t="b">
        <f t="shared" si="3"/>
        <v>0</v>
      </c>
      <c r="O97" s="4" t="b">
        <f>COUNTIF(refunds!$B$2:$B$15,A97)&gt;0</f>
        <v>0</v>
      </c>
      <c r="P97" s="4">
        <f>_xlfn.XLOOKUP(A97,refunds!$B$2:$B$15,refunds!$D$2:$D$15,0,0)</f>
        <v>0</v>
      </c>
      <c r="Q97" s="4" t="str">
        <f>IF(OR(payments[[#This Row],[completed_at]]="",payments[[#This Row],[completed_at]]=0),"",TEXT(payments[[#This Row],[completed_at]],"yyyy-mm"))</f>
        <v>2026-01</v>
      </c>
    </row>
    <row r="98" spans="1:17">
      <c r="A98">
        <v>81</v>
      </c>
      <c r="B98">
        <v>252</v>
      </c>
      <c r="C98">
        <v>3</v>
      </c>
      <c r="D98" s="3">
        <v>46043.9956712963</v>
      </c>
      <c r="E98" s="3">
        <v>46043.995787037</v>
      </c>
      <c r="F98" t="s">
        <v>25</v>
      </c>
      <c r="G98">
        <v>19.99</v>
      </c>
      <c r="H98">
        <v>600</v>
      </c>
      <c r="I98" s="4" t="str">
        <f>_xlfn.XLOOKUP(B98,users!A:A,users!C:C)</f>
        <v>BR</v>
      </c>
      <c r="J98" s="4" t="str">
        <f>_xlfn.XLOOKUP(B98,users!A:A,users!D:D)</f>
        <v>tablet</v>
      </c>
      <c r="K98" s="4" t="str">
        <f>_xlfn.XLOOKUP(C98,coin_packages!A:A,coin_packages!B:B)</f>
        <v>Large</v>
      </c>
      <c r="L98" s="4" t="str">
        <f t="array" ref="L98">INDEX(coin_packages!$B$2:$B$5,MATCH(C98,coin_packages!$A$2:$A$5,0))</f>
        <v>Large</v>
      </c>
      <c r="M98" s="4">
        <f t="shared" si="2"/>
        <v>19.99</v>
      </c>
      <c r="N98" s="4" t="b">
        <f t="shared" si="3"/>
        <v>0</v>
      </c>
      <c r="O98" s="4" t="b">
        <f>COUNTIF(refunds!$B$2:$B$15,A98)&gt;0</f>
        <v>1</v>
      </c>
      <c r="P98" s="4">
        <f>_xlfn.XLOOKUP(A98,refunds!$B$2:$B$15,refunds!$D$2:$D$15,0,0)</f>
        <v>19.99</v>
      </c>
      <c r="Q98" s="4" t="str">
        <f>IF(OR(payments[[#This Row],[completed_at]]="",payments[[#This Row],[completed_at]]=0),"",TEXT(payments[[#This Row],[completed_at]],"yyyy-mm"))</f>
        <v>2026-01</v>
      </c>
    </row>
    <row r="99" spans="1:17">
      <c r="A99">
        <v>83</v>
      </c>
      <c r="B99">
        <v>276</v>
      </c>
      <c r="C99">
        <v>3</v>
      </c>
      <c r="D99" s="3">
        <v>46193.456087963</v>
      </c>
      <c r="E99" s="3">
        <v>46193.4562037037</v>
      </c>
      <c r="F99" t="s">
        <v>25</v>
      </c>
      <c r="G99">
        <v>15.99</v>
      </c>
      <c r="H99">
        <v>600</v>
      </c>
      <c r="I99" s="4" t="str">
        <f>_xlfn.XLOOKUP(B99,users!A:A,users!C:C)</f>
        <v>GB</v>
      </c>
      <c r="J99" s="4" t="str">
        <f>_xlfn.XLOOKUP(B99,users!A:A,users!D:D)</f>
        <v>tablet</v>
      </c>
      <c r="K99" s="4" t="str">
        <f>_xlfn.XLOOKUP(C99,coin_packages!A:A,coin_packages!B:B)</f>
        <v>Large</v>
      </c>
      <c r="L99" s="4" t="str">
        <f t="array" ref="L99">INDEX(coin_packages!$B$2:$B$5,MATCH(C99,coin_packages!$A$2:$A$5,0))</f>
        <v>Large</v>
      </c>
      <c r="M99" s="4">
        <f t="shared" si="2"/>
        <v>15.99</v>
      </c>
      <c r="N99" s="4" t="b">
        <f t="shared" si="3"/>
        <v>0</v>
      </c>
      <c r="O99" s="4" t="b">
        <f>COUNTIF(refunds!$B$2:$B$15,A99)&gt;0</f>
        <v>0</v>
      </c>
      <c r="P99" s="4">
        <f>_xlfn.XLOOKUP(A99,refunds!$B$2:$B$15,refunds!$D$2:$D$15,0,0)</f>
        <v>0</v>
      </c>
      <c r="Q99" s="4" t="str">
        <f>IF(OR(payments[[#This Row],[completed_at]]="",payments[[#This Row],[completed_at]]=0),"",TEXT(payments[[#This Row],[completed_at]],"yyyy-mm"))</f>
        <v>2026-06</v>
      </c>
    </row>
    <row r="100" spans="1:17">
      <c r="A100">
        <v>84</v>
      </c>
      <c r="B100">
        <v>278</v>
      </c>
      <c r="C100">
        <v>2</v>
      </c>
      <c r="D100" s="3">
        <v>46169.891412037</v>
      </c>
      <c r="E100" s="3">
        <v>46169.8915277778</v>
      </c>
      <c r="F100" t="s">
        <v>25</v>
      </c>
      <c r="G100">
        <v>9.99</v>
      </c>
      <c r="H100">
        <v>250</v>
      </c>
      <c r="I100" s="4" t="str">
        <f>_xlfn.XLOOKUP(B100,users!A:A,users!C:C)</f>
        <v>US</v>
      </c>
      <c r="J100" s="4" t="str">
        <f>_xlfn.XLOOKUP(B100,users!A:A,users!D:D)</f>
        <v>tablet</v>
      </c>
      <c r="K100" s="4" t="str">
        <f>_xlfn.XLOOKUP(C100,coin_packages!A:A,coin_packages!B:B)</f>
        <v>Medium</v>
      </c>
      <c r="L100" s="4" t="str">
        <f t="array" ref="L100">INDEX(coin_packages!$B$2:$B$5,MATCH(C100,coin_packages!$A$2:$A$5,0))</f>
        <v>Medium</v>
      </c>
      <c r="M100" s="4">
        <f t="shared" si="2"/>
        <v>9.99</v>
      </c>
      <c r="N100" s="4" t="b">
        <f t="shared" si="3"/>
        <v>1</v>
      </c>
      <c r="O100" s="4" t="b">
        <f>COUNTIF(refunds!$B$2:$B$15,A100)&gt;0</f>
        <v>0</v>
      </c>
      <c r="P100" s="4">
        <f>_xlfn.XLOOKUP(A100,refunds!$B$2:$B$15,refunds!$D$2:$D$15,0,0)</f>
        <v>0</v>
      </c>
      <c r="Q100" s="4" t="str">
        <f>IF(OR(payments[[#This Row],[completed_at]]="",payments[[#This Row],[completed_at]]=0),"",TEXT(payments[[#This Row],[completed_at]],"yyyy-mm"))</f>
        <v>2026-05</v>
      </c>
    </row>
    <row r="101" spans="1:17">
      <c r="A101">
        <v>86</v>
      </c>
      <c r="B101">
        <v>288</v>
      </c>
      <c r="C101">
        <v>2</v>
      </c>
      <c r="D101" s="3">
        <v>46202.555462963</v>
      </c>
      <c r="E101" s="3">
        <v>46202.5555787037</v>
      </c>
      <c r="F101" t="s">
        <v>25</v>
      </c>
      <c r="G101">
        <v>9.99</v>
      </c>
      <c r="H101">
        <v>250</v>
      </c>
      <c r="I101" s="4" t="str">
        <f>_xlfn.XLOOKUP(B101,users!A:A,users!C:C)</f>
        <v>DE</v>
      </c>
      <c r="J101" s="4" t="str">
        <f>_xlfn.XLOOKUP(B101,users!A:A,users!D:D)</f>
        <v>mobile</v>
      </c>
      <c r="K101" s="4" t="str">
        <f>_xlfn.XLOOKUP(C101,coin_packages!A:A,coin_packages!B:B)</f>
        <v>Medium</v>
      </c>
      <c r="L101" s="4" t="str">
        <f t="array" ref="L101">INDEX(coin_packages!$B$2:$B$5,MATCH(C101,coin_packages!$A$2:$A$5,0))</f>
        <v>Medium</v>
      </c>
      <c r="M101" s="4">
        <f t="shared" si="2"/>
        <v>9.99</v>
      </c>
      <c r="N101" s="4" t="b">
        <f t="shared" si="3"/>
        <v>0</v>
      </c>
      <c r="O101" s="4" t="b">
        <f>COUNTIF(refunds!$B$2:$B$15,A101)&gt;0</f>
        <v>0</v>
      </c>
      <c r="P101" s="4">
        <f>_xlfn.XLOOKUP(A101,refunds!$B$2:$B$15,refunds!$D$2:$D$15,0,0)</f>
        <v>0</v>
      </c>
      <c r="Q101" s="4" t="str">
        <f>IF(OR(payments[[#This Row],[completed_at]]="",payments[[#This Row],[completed_at]]=0),"",TEXT(payments[[#This Row],[completed_at]],"yyyy-mm"))</f>
        <v>2026-06</v>
      </c>
    </row>
    <row r="102" spans="1:17">
      <c r="A102">
        <v>85</v>
      </c>
      <c r="B102">
        <v>288</v>
      </c>
      <c r="C102">
        <v>1</v>
      </c>
      <c r="D102" s="3">
        <v>46187.8431018519</v>
      </c>
      <c r="E102" s="3">
        <v>46187.8432175926</v>
      </c>
      <c r="F102" t="s">
        <v>25</v>
      </c>
      <c r="G102">
        <v>4.99</v>
      </c>
      <c r="H102">
        <v>100</v>
      </c>
      <c r="I102" s="4" t="str">
        <f>_xlfn.XLOOKUP(B102,users!A:A,users!C:C)</f>
        <v>DE</v>
      </c>
      <c r="J102" s="4" t="str">
        <f>_xlfn.XLOOKUP(B102,users!A:A,users!D:D)</f>
        <v>mobile</v>
      </c>
      <c r="K102" s="4" t="str">
        <f>_xlfn.XLOOKUP(C102,coin_packages!A:A,coin_packages!B:B)</f>
        <v>Small</v>
      </c>
      <c r="L102" s="4" t="str">
        <f t="array" ref="L102">INDEX(coin_packages!$B$2:$B$5,MATCH(C102,coin_packages!$A$2:$A$5,0))</f>
        <v>Small</v>
      </c>
      <c r="M102" s="4">
        <f t="shared" si="2"/>
        <v>4.99</v>
      </c>
      <c r="N102" s="4" t="b">
        <f t="shared" si="3"/>
        <v>0</v>
      </c>
      <c r="O102" s="4" t="b">
        <f>COUNTIF(refunds!$B$2:$B$15,A102)&gt;0</f>
        <v>0</v>
      </c>
      <c r="P102" s="4">
        <f>_xlfn.XLOOKUP(A102,refunds!$B$2:$B$15,refunds!$D$2:$D$15,0,0)</f>
        <v>0</v>
      </c>
      <c r="Q102" s="4" t="str">
        <f>IF(OR(payments[[#This Row],[completed_at]]="",payments[[#This Row],[completed_at]]=0),"",TEXT(payments[[#This Row],[completed_at]],"yyyy-mm"))</f>
        <v>2026-06</v>
      </c>
    </row>
    <row r="103" spans="1:17">
      <c r="A103">
        <v>88</v>
      </c>
      <c r="B103">
        <v>289</v>
      </c>
      <c r="C103">
        <v>3</v>
      </c>
      <c r="D103" s="3">
        <v>46173.52875</v>
      </c>
      <c r="E103" s="3">
        <v>46173.5288657407</v>
      </c>
      <c r="F103" t="s">
        <v>25</v>
      </c>
      <c r="G103">
        <v>19.99</v>
      </c>
      <c r="H103">
        <v>600</v>
      </c>
      <c r="I103" s="4" t="str">
        <f>_xlfn.XLOOKUP(B103,users!A:A,users!C:C)</f>
        <v>GB</v>
      </c>
      <c r="J103" s="4" t="str">
        <f>_xlfn.XLOOKUP(B103,users!A:A,users!D:D)</f>
        <v>tablet</v>
      </c>
      <c r="K103" s="4" t="str">
        <f>_xlfn.XLOOKUP(C103,coin_packages!A:A,coin_packages!B:B)</f>
        <v>Large</v>
      </c>
      <c r="L103" s="4" t="str">
        <f t="array" ref="L103">INDEX(coin_packages!$B$2:$B$5,MATCH(C103,coin_packages!$A$2:$A$5,0))</f>
        <v>Large</v>
      </c>
      <c r="M103" s="4">
        <f t="shared" si="2"/>
        <v>19.99</v>
      </c>
      <c r="N103" s="4" t="b">
        <f t="shared" si="3"/>
        <v>0</v>
      </c>
      <c r="O103" s="4" t="b">
        <f>COUNTIF(refunds!$B$2:$B$15,A103)&gt;0</f>
        <v>0</v>
      </c>
      <c r="P103" s="4">
        <f>_xlfn.XLOOKUP(A103,refunds!$B$2:$B$15,refunds!$D$2:$D$15,0,0)</f>
        <v>0</v>
      </c>
      <c r="Q103" s="4" t="str">
        <f>IF(OR(payments[[#This Row],[completed_at]]="",payments[[#This Row],[completed_at]]=0),"",TEXT(payments[[#This Row],[completed_at]],"yyyy-mm"))</f>
        <v>2026-05</v>
      </c>
    </row>
    <row r="104" spans="1:17">
      <c r="A104">
        <v>87</v>
      </c>
      <c r="B104">
        <v>289</v>
      </c>
      <c r="C104">
        <v>1</v>
      </c>
      <c r="D104" s="3">
        <v>46106.1958796296</v>
      </c>
      <c r="E104" s="3">
        <v>46106.1959953704</v>
      </c>
      <c r="F104" t="s">
        <v>25</v>
      </c>
      <c r="G104">
        <v>4.99</v>
      </c>
      <c r="H104">
        <v>100</v>
      </c>
      <c r="I104" s="4" t="str">
        <f>_xlfn.XLOOKUP(B104,users!A:A,users!C:C)</f>
        <v>GB</v>
      </c>
      <c r="J104" s="4" t="str">
        <f>_xlfn.XLOOKUP(B104,users!A:A,users!D:D)</f>
        <v>tablet</v>
      </c>
      <c r="K104" s="4" t="str">
        <f>_xlfn.XLOOKUP(C104,coin_packages!A:A,coin_packages!B:B)</f>
        <v>Small</v>
      </c>
      <c r="L104" s="4" t="str">
        <f t="array" ref="L104">INDEX(coin_packages!$B$2:$B$5,MATCH(C104,coin_packages!$A$2:$A$5,0))</f>
        <v>Small</v>
      </c>
      <c r="M104" s="4">
        <f t="shared" si="2"/>
        <v>4.99</v>
      </c>
      <c r="N104" s="4" t="b">
        <f t="shared" si="3"/>
        <v>0</v>
      </c>
      <c r="O104" s="4" t="b">
        <f>COUNTIF(refunds!$B$2:$B$15,A104)&gt;0</f>
        <v>0</v>
      </c>
      <c r="P104" s="4">
        <f>_xlfn.XLOOKUP(A104,refunds!$B$2:$B$15,refunds!$D$2:$D$15,0,0)</f>
        <v>0</v>
      </c>
      <c r="Q104" s="4" t="str">
        <f>IF(OR(payments[[#This Row],[completed_at]]="",payments[[#This Row],[completed_at]]=0),"",TEXT(payments[[#This Row],[completed_at]],"yyyy-mm"))</f>
        <v>2026-03</v>
      </c>
    </row>
    <row r="105" spans="1:17">
      <c r="A105">
        <v>89</v>
      </c>
      <c r="B105">
        <v>291</v>
      </c>
      <c r="C105">
        <v>2</v>
      </c>
      <c r="D105" s="3">
        <v>46200.5945717593</v>
      </c>
      <c r="E105" s="3">
        <v>46200.5946875</v>
      </c>
      <c r="F105" t="s">
        <v>25</v>
      </c>
      <c r="G105">
        <v>9.99</v>
      </c>
      <c r="H105">
        <v>250</v>
      </c>
      <c r="I105" s="4" t="str">
        <f>_xlfn.XLOOKUP(B105,users!A:A,users!C:C)</f>
        <v>DE</v>
      </c>
      <c r="J105" s="4" t="str">
        <f>_xlfn.XLOOKUP(B105,users!A:A,users!D:D)</f>
        <v>tablet</v>
      </c>
      <c r="K105" s="4" t="str">
        <f>_xlfn.XLOOKUP(C105,coin_packages!A:A,coin_packages!B:B)</f>
        <v>Medium</v>
      </c>
      <c r="L105" s="4" t="str">
        <f t="array" ref="L105">INDEX(coin_packages!$B$2:$B$5,MATCH(C105,coin_packages!$A$2:$A$5,0))</f>
        <v>Medium</v>
      </c>
      <c r="M105" s="4">
        <f t="shared" si="2"/>
        <v>9.99</v>
      </c>
      <c r="N105" s="4" t="b">
        <f t="shared" si="3"/>
        <v>0</v>
      </c>
      <c r="O105" s="4" t="b">
        <f>COUNTIF(refunds!$B$2:$B$15,A105)&gt;0</f>
        <v>0</v>
      </c>
      <c r="P105" s="4">
        <f>_xlfn.XLOOKUP(A105,refunds!$B$2:$B$15,refunds!$D$2:$D$15,0,0)</f>
        <v>0</v>
      </c>
      <c r="Q105" s="4" t="str">
        <f>IF(OR(payments[[#This Row],[completed_at]]="",payments[[#This Row],[completed_at]]=0),"",TEXT(payments[[#This Row],[completed_at]],"yyyy-mm"))</f>
        <v>2026-06</v>
      </c>
    </row>
    <row r="106" spans="1:17">
      <c r="A106">
        <v>90</v>
      </c>
      <c r="B106">
        <v>293</v>
      </c>
      <c r="C106">
        <v>3</v>
      </c>
      <c r="D106" s="3">
        <v>46103.5503472222</v>
      </c>
      <c r="E106" s="3">
        <v>46103.550462963</v>
      </c>
      <c r="F106" t="s">
        <v>25</v>
      </c>
      <c r="G106">
        <v>19.99</v>
      </c>
      <c r="H106">
        <v>600</v>
      </c>
      <c r="I106" s="4" t="str">
        <f>_xlfn.XLOOKUP(B106,users!A:A,users!C:C)</f>
        <v>BR</v>
      </c>
      <c r="J106" s="4" t="str">
        <f>_xlfn.XLOOKUP(B106,users!A:A,users!D:D)</f>
        <v>mobile</v>
      </c>
      <c r="K106" s="4" t="str">
        <f>_xlfn.XLOOKUP(C106,coin_packages!A:A,coin_packages!B:B)</f>
        <v>Large</v>
      </c>
      <c r="L106" s="4" t="str">
        <f t="array" ref="L106">INDEX(coin_packages!$B$2:$B$5,MATCH(C106,coin_packages!$A$2:$A$5,0))</f>
        <v>Large</v>
      </c>
      <c r="M106" s="4">
        <f t="shared" si="2"/>
        <v>19.99</v>
      </c>
      <c r="N106" s="4" t="b">
        <f t="shared" si="3"/>
        <v>0</v>
      </c>
      <c r="O106" s="4" t="b">
        <f>COUNTIF(refunds!$B$2:$B$15,A106)&gt;0</f>
        <v>0</v>
      </c>
      <c r="P106" s="4">
        <f>_xlfn.XLOOKUP(A106,refunds!$B$2:$B$15,refunds!$D$2:$D$15,0,0)</f>
        <v>0</v>
      </c>
      <c r="Q106" s="4" t="str">
        <f>IF(OR(payments[[#This Row],[completed_at]]="",payments[[#This Row],[completed_at]]=0),"",TEXT(payments[[#This Row],[completed_at]],"yyyy-mm"))</f>
        <v>2026-03</v>
      </c>
    </row>
    <row r="107" spans="1:17">
      <c r="A107">
        <v>91</v>
      </c>
      <c r="B107">
        <v>294</v>
      </c>
      <c r="C107">
        <v>3</v>
      </c>
      <c r="D107" s="3">
        <v>46137.472962963</v>
      </c>
      <c r="E107" s="3">
        <v>46137.4730787037</v>
      </c>
      <c r="F107" t="s">
        <v>25</v>
      </c>
      <c r="G107">
        <v>19.99</v>
      </c>
      <c r="H107">
        <v>600</v>
      </c>
      <c r="I107" s="4" t="str">
        <f>_xlfn.XLOOKUP(B107,users!A:A,users!C:C)</f>
        <v>US</v>
      </c>
      <c r="J107" s="4" t="str">
        <f>_xlfn.XLOOKUP(B107,users!A:A,users!D:D)</f>
        <v>tablet</v>
      </c>
      <c r="K107" s="4" t="str">
        <f>_xlfn.XLOOKUP(C107,coin_packages!A:A,coin_packages!B:B)</f>
        <v>Large</v>
      </c>
      <c r="L107" s="4" t="str">
        <f t="array" ref="L107">INDEX(coin_packages!$B$2:$B$5,MATCH(C107,coin_packages!$A$2:$A$5,0))</f>
        <v>Large</v>
      </c>
      <c r="M107" s="4">
        <f t="shared" si="2"/>
        <v>19.99</v>
      </c>
      <c r="N107" s="4" t="b">
        <f t="shared" si="3"/>
        <v>1</v>
      </c>
      <c r="O107" s="4" t="b">
        <f>COUNTIF(refunds!$B$2:$B$15,A107)&gt;0</f>
        <v>0</v>
      </c>
      <c r="P107" s="4">
        <f>_xlfn.XLOOKUP(A107,refunds!$B$2:$B$15,refunds!$D$2:$D$15,0,0)</f>
        <v>0</v>
      </c>
      <c r="Q107" s="4" t="str">
        <f>IF(OR(payments[[#This Row],[completed_at]]="",payments[[#This Row],[completed_at]]=0),"",TEXT(payments[[#This Row],[completed_at]],"yyyy-mm"))</f>
        <v>2026-04</v>
      </c>
    </row>
    <row r="108" spans="1:17">
      <c r="A108">
        <v>93</v>
      </c>
      <c r="B108">
        <v>296</v>
      </c>
      <c r="C108">
        <v>3</v>
      </c>
      <c r="D108" s="3">
        <v>46176.2709375</v>
      </c>
      <c r="E108" s="3">
        <v>46176.2710532407</v>
      </c>
      <c r="F108" t="s">
        <v>25</v>
      </c>
      <c r="G108">
        <v>19.99</v>
      </c>
      <c r="H108">
        <v>600</v>
      </c>
      <c r="I108" s="4" t="str">
        <f>_xlfn.XLOOKUP(B108,users!A:A,users!C:C)</f>
        <v>BR</v>
      </c>
      <c r="J108" s="4" t="str">
        <f>_xlfn.XLOOKUP(B108,users!A:A,users!D:D)</f>
        <v>mobile</v>
      </c>
      <c r="K108" s="4" t="str">
        <f>_xlfn.XLOOKUP(C108,coin_packages!A:A,coin_packages!B:B)</f>
        <v>Large</v>
      </c>
      <c r="L108" s="4" t="str">
        <f t="array" ref="L108">INDEX(coin_packages!$B$2:$B$5,MATCH(C108,coin_packages!$A$2:$A$5,0))</f>
        <v>Large</v>
      </c>
      <c r="M108" s="4">
        <f t="shared" si="2"/>
        <v>19.99</v>
      </c>
      <c r="N108" s="4" t="b">
        <f t="shared" si="3"/>
        <v>0</v>
      </c>
      <c r="O108" s="4" t="b">
        <f>COUNTIF(refunds!$B$2:$B$15,A108)&gt;0</f>
        <v>0</v>
      </c>
      <c r="P108" s="4">
        <f>_xlfn.XLOOKUP(A108,refunds!$B$2:$B$15,refunds!$D$2:$D$15,0,0)</f>
        <v>0</v>
      </c>
      <c r="Q108" s="4" t="str">
        <f>IF(OR(payments[[#This Row],[completed_at]]="",payments[[#This Row],[completed_at]]=0),"",TEXT(payments[[#This Row],[completed_at]],"yyyy-mm"))</f>
        <v>2026-06</v>
      </c>
    </row>
    <row r="109" spans="1:17">
      <c r="A109">
        <v>92</v>
      </c>
      <c r="B109">
        <v>296</v>
      </c>
      <c r="C109">
        <v>1</v>
      </c>
      <c r="D109" s="3">
        <v>46139.7605787037</v>
      </c>
      <c r="E109" s="3">
        <v>46139.7606944444</v>
      </c>
      <c r="F109" t="s">
        <v>25</v>
      </c>
      <c r="G109">
        <v>4.99</v>
      </c>
      <c r="H109">
        <v>100</v>
      </c>
      <c r="I109" s="4" t="str">
        <f>_xlfn.XLOOKUP(B109,users!A:A,users!C:C)</f>
        <v>BR</v>
      </c>
      <c r="J109" s="4" t="str">
        <f>_xlfn.XLOOKUP(B109,users!A:A,users!D:D)</f>
        <v>mobile</v>
      </c>
      <c r="K109" s="4" t="str">
        <f>_xlfn.XLOOKUP(C109,coin_packages!A:A,coin_packages!B:B)</f>
        <v>Small</v>
      </c>
      <c r="L109" s="4" t="str">
        <f t="array" ref="L109">INDEX(coin_packages!$B$2:$B$5,MATCH(C109,coin_packages!$A$2:$A$5,0))</f>
        <v>Small</v>
      </c>
      <c r="M109" s="4">
        <f t="shared" si="2"/>
        <v>4.99</v>
      </c>
      <c r="N109" s="4" t="b">
        <f t="shared" si="3"/>
        <v>0</v>
      </c>
      <c r="O109" s="4" t="b">
        <f>COUNTIF(refunds!$B$2:$B$15,A109)&gt;0</f>
        <v>0</v>
      </c>
      <c r="P109" s="4">
        <f>_xlfn.XLOOKUP(A109,refunds!$B$2:$B$15,refunds!$D$2:$D$15,0,0)</f>
        <v>0</v>
      </c>
      <c r="Q109" s="4" t="str">
        <f>IF(OR(payments[[#This Row],[completed_at]]="",payments[[#This Row],[completed_at]]=0),"",TEXT(payments[[#This Row],[completed_at]],"yyyy-mm"))</f>
        <v>2026-04</v>
      </c>
    </row>
    <row r="110" spans="1:17">
      <c r="A110">
        <v>96</v>
      </c>
      <c r="B110">
        <v>299</v>
      </c>
      <c r="C110">
        <v>1</v>
      </c>
      <c r="D110" s="3">
        <v>46116.6259606481</v>
      </c>
      <c r="E110" s="3">
        <v>46116.6260763889</v>
      </c>
      <c r="F110" t="s">
        <v>25</v>
      </c>
      <c r="G110">
        <v>4.99</v>
      </c>
      <c r="H110">
        <v>100</v>
      </c>
      <c r="I110" s="4" t="str">
        <f>_xlfn.XLOOKUP(B110,users!A:A,users!C:C)</f>
        <v>GB</v>
      </c>
      <c r="J110" s="4" t="str">
        <f>_xlfn.XLOOKUP(B110,users!A:A,users!D:D)</f>
        <v>mobile</v>
      </c>
      <c r="K110" s="4" t="str">
        <f>_xlfn.XLOOKUP(C110,coin_packages!A:A,coin_packages!B:B)</f>
        <v>Small</v>
      </c>
      <c r="L110" s="4" t="str">
        <f t="array" ref="L110">INDEX(coin_packages!$B$2:$B$5,MATCH(C110,coin_packages!$A$2:$A$5,0))</f>
        <v>Small</v>
      </c>
      <c r="M110" s="4">
        <f t="shared" si="2"/>
        <v>4.99</v>
      </c>
      <c r="N110" s="4" t="b">
        <f t="shared" si="3"/>
        <v>0</v>
      </c>
      <c r="O110" s="4" t="b">
        <f>COUNTIF(refunds!$B$2:$B$15,A110)&gt;0</f>
        <v>0</v>
      </c>
      <c r="P110" s="4">
        <f>_xlfn.XLOOKUP(A110,refunds!$B$2:$B$15,refunds!$D$2:$D$15,0,0)</f>
        <v>0</v>
      </c>
      <c r="Q110" s="4" t="str">
        <f>IF(OR(payments[[#This Row],[completed_at]]="",payments[[#This Row],[completed_at]]=0),"",TEXT(payments[[#This Row],[completed_at]],"yyyy-mm"))</f>
        <v>2026-04</v>
      </c>
    </row>
    <row r="111" spans="1:17">
      <c r="A111">
        <v>95</v>
      </c>
      <c r="B111">
        <v>299</v>
      </c>
      <c r="C111">
        <v>3</v>
      </c>
      <c r="D111" s="3">
        <v>46108.756412037</v>
      </c>
      <c r="E111" s="3">
        <v>46108.7565277778</v>
      </c>
      <c r="F111" t="s">
        <v>25</v>
      </c>
      <c r="G111">
        <v>19.99</v>
      </c>
      <c r="H111">
        <v>600</v>
      </c>
      <c r="I111" s="4" t="str">
        <f>_xlfn.XLOOKUP(B111,users!A:A,users!C:C)</f>
        <v>GB</v>
      </c>
      <c r="J111" s="4" t="str">
        <f>_xlfn.XLOOKUP(B111,users!A:A,users!D:D)</f>
        <v>mobile</v>
      </c>
      <c r="K111" s="4" t="str">
        <f>_xlfn.XLOOKUP(C111,coin_packages!A:A,coin_packages!B:B)</f>
        <v>Large</v>
      </c>
      <c r="L111" s="4" t="str">
        <f t="array" ref="L111">INDEX(coin_packages!$B$2:$B$5,MATCH(C111,coin_packages!$A$2:$A$5,0))</f>
        <v>Large</v>
      </c>
      <c r="M111" s="4">
        <f t="shared" si="2"/>
        <v>19.99</v>
      </c>
      <c r="N111" s="4" t="b">
        <f t="shared" si="3"/>
        <v>0</v>
      </c>
      <c r="O111" s="4" t="b">
        <f>COUNTIF(refunds!$B$2:$B$15,A111)&gt;0</f>
        <v>1</v>
      </c>
      <c r="P111" s="4">
        <f>_xlfn.XLOOKUP(A111,refunds!$B$2:$B$15,refunds!$D$2:$D$15,0,0)</f>
        <v>19.99</v>
      </c>
      <c r="Q111" s="4" t="str">
        <f>IF(OR(payments[[#This Row],[completed_at]]="",payments[[#This Row],[completed_at]]=0),"",TEXT(payments[[#This Row],[completed_at]],"yyyy-mm"))</f>
        <v>2026-03</v>
      </c>
    </row>
    <row r="112" spans="1:17">
      <c r="A112">
        <v>94</v>
      </c>
      <c r="B112">
        <v>299</v>
      </c>
      <c r="C112">
        <v>3</v>
      </c>
      <c r="D112" s="3">
        <v>46104.4592592593</v>
      </c>
      <c r="E112" s="3">
        <v>46104.459375</v>
      </c>
      <c r="F112" t="s">
        <v>25</v>
      </c>
      <c r="G112">
        <v>19.99</v>
      </c>
      <c r="H112">
        <v>600</v>
      </c>
      <c r="I112" s="4" t="str">
        <f>_xlfn.XLOOKUP(B112,users!A:A,users!C:C)</f>
        <v>GB</v>
      </c>
      <c r="J112" s="4" t="str">
        <f>_xlfn.XLOOKUP(B112,users!A:A,users!D:D)</f>
        <v>mobile</v>
      </c>
      <c r="K112" s="4" t="str">
        <f>_xlfn.XLOOKUP(C112,coin_packages!A:A,coin_packages!B:B)</f>
        <v>Large</v>
      </c>
      <c r="L112" s="4" t="str">
        <f t="array" ref="L112">INDEX(coin_packages!$B$2:$B$5,MATCH(C112,coin_packages!$A$2:$A$5,0))</f>
        <v>Large</v>
      </c>
      <c r="M112" s="4">
        <f t="shared" si="2"/>
        <v>19.99</v>
      </c>
      <c r="N112" s="4" t="b">
        <f t="shared" si="3"/>
        <v>0</v>
      </c>
      <c r="O112" s="4" t="b">
        <f>COUNTIF(refunds!$B$2:$B$15,A112)&gt;0</f>
        <v>1</v>
      </c>
      <c r="P112" s="4">
        <f>_xlfn.XLOOKUP(A112,refunds!$B$2:$B$15,refunds!$D$2:$D$15,0,0)</f>
        <v>19.99</v>
      </c>
      <c r="Q112" s="4" t="str">
        <f>IF(OR(payments[[#This Row],[completed_at]]="",payments[[#This Row],[completed_at]]=0),"",TEXT(payments[[#This Row],[completed_at]],"yyyy-mm"))</f>
        <v>2026-03</v>
      </c>
    </row>
    <row r="113" spans="1:17">
      <c r="A113">
        <v>97</v>
      </c>
      <c r="B113">
        <v>306</v>
      </c>
      <c r="C113">
        <v>1</v>
      </c>
      <c r="D113" s="3">
        <v>46147.1027893519</v>
      </c>
      <c r="E113" s="3">
        <v>46147.1029050926</v>
      </c>
      <c r="F113" t="s">
        <v>25</v>
      </c>
      <c r="G113">
        <v>4.99</v>
      </c>
      <c r="H113">
        <v>100</v>
      </c>
      <c r="I113" s="4" t="str">
        <f>_xlfn.XLOOKUP(B113,users!A:A,users!C:C)</f>
        <v>CA</v>
      </c>
      <c r="J113" s="4" t="str">
        <f>_xlfn.XLOOKUP(B113,users!A:A,users!D:D)</f>
        <v>tablet</v>
      </c>
      <c r="K113" s="4" t="str">
        <f>_xlfn.XLOOKUP(C113,coin_packages!A:A,coin_packages!B:B)</f>
        <v>Small</v>
      </c>
      <c r="L113" s="4" t="str">
        <f t="array" ref="L113">INDEX(coin_packages!$B$2:$B$5,MATCH(C113,coin_packages!$A$2:$A$5,0))</f>
        <v>Small</v>
      </c>
      <c r="M113" s="4">
        <f t="shared" si="2"/>
        <v>4.99</v>
      </c>
      <c r="N113" s="4" t="b">
        <f t="shared" si="3"/>
        <v>0</v>
      </c>
      <c r="O113" s="4" t="b">
        <f>COUNTIF(refunds!$B$2:$B$15,A113)&gt;0</f>
        <v>0</v>
      </c>
      <c r="P113" s="4">
        <f>_xlfn.XLOOKUP(A113,refunds!$B$2:$B$15,refunds!$D$2:$D$15,0,0)</f>
        <v>0</v>
      </c>
      <c r="Q113" s="4" t="str">
        <f>IF(OR(payments[[#This Row],[completed_at]]="",payments[[#This Row],[completed_at]]=0),"",TEXT(payments[[#This Row],[completed_at]],"yyyy-mm"))</f>
        <v>2026-05</v>
      </c>
    </row>
    <row r="114" spans="1:17">
      <c r="A114">
        <v>99</v>
      </c>
      <c r="B114">
        <v>308</v>
      </c>
      <c r="C114">
        <v>2</v>
      </c>
      <c r="D114" s="3">
        <v>46155.6673611111</v>
      </c>
      <c r="E114" s="3">
        <v>46155.6674768518</v>
      </c>
      <c r="F114" t="s">
        <v>25</v>
      </c>
      <c r="G114">
        <v>9.99</v>
      </c>
      <c r="H114">
        <v>250</v>
      </c>
      <c r="I114" s="4" t="str">
        <f>_xlfn.XLOOKUP(B114,users!A:A,users!C:C)</f>
        <v>DE</v>
      </c>
      <c r="J114" s="4" t="str">
        <f>_xlfn.XLOOKUP(B114,users!A:A,users!D:D)</f>
        <v>mobile</v>
      </c>
      <c r="K114" s="4" t="str">
        <f>_xlfn.XLOOKUP(C114,coin_packages!A:A,coin_packages!B:B)</f>
        <v>Medium</v>
      </c>
      <c r="L114" s="4" t="str">
        <f t="array" ref="L114">INDEX(coin_packages!$B$2:$B$5,MATCH(C114,coin_packages!$A$2:$A$5,0))</f>
        <v>Medium</v>
      </c>
      <c r="M114" s="4">
        <f t="shared" si="2"/>
        <v>9.99</v>
      </c>
      <c r="N114" s="4" t="b">
        <f t="shared" si="3"/>
        <v>0</v>
      </c>
      <c r="O114" s="4" t="b">
        <f>COUNTIF(refunds!$B$2:$B$15,A114)&gt;0</f>
        <v>0</v>
      </c>
      <c r="P114" s="4">
        <f>_xlfn.XLOOKUP(A114,refunds!$B$2:$B$15,refunds!$D$2:$D$15,0,0)</f>
        <v>0</v>
      </c>
      <c r="Q114" s="4" t="str">
        <f>IF(OR(payments[[#This Row],[completed_at]]="",payments[[#This Row],[completed_at]]=0),"",TEXT(payments[[#This Row],[completed_at]],"yyyy-mm"))</f>
        <v>2026-05</v>
      </c>
    </row>
    <row r="115" spans="1:17">
      <c r="A115">
        <v>98</v>
      </c>
      <c r="B115">
        <v>308</v>
      </c>
      <c r="C115">
        <v>1</v>
      </c>
      <c r="D115" s="3">
        <v>46118.492974537</v>
      </c>
      <c r="E115" s="3">
        <v>46118.4930902778</v>
      </c>
      <c r="F115" t="s">
        <v>25</v>
      </c>
      <c r="G115">
        <v>4.99</v>
      </c>
      <c r="H115">
        <v>100</v>
      </c>
      <c r="I115" s="4" t="str">
        <f>_xlfn.XLOOKUP(B115,users!A:A,users!C:C)</f>
        <v>DE</v>
      </c>
      <c r="J115" s="4" t="str">
        <f>_xlfn.XLOOKUP(B115,users!A:A,users!D:D)</f>
        <v>mobile</v>
      </c>
      <c r="K115" s="4" t="str">
        <f>_xlfn.XLOOKUP(C115,coin_packages!A:A,coin_packages!B:B)</f>
        <v>Small</v>
      </c>
      <c r="L115" s="4" t="str">
        <f t="array" ref="L115">INDEX(coin_packages!$B$2:$B$5,MATCH(C115,coin_packages!$A$2:$A$5,0))</f>
        <v>Small</v>
      </c>
      <c r="M115" s="4">
        <f t="shared" si="2"/>
        <v>4.99</v>
      </c>
      <c r="N115" s="4" t="b">
        <f t="shared" si="3"/>
        <v>0</v>
      </c>
      <c r="O115" s="4" t="b">
        <f>COUNTIF(refunds!$B$2:$B$15,A115)&gt;0</f>
        <v>0</v>
      </c>
      <c r="P115" s="4">
        <f>_xlfn.XLOOKUP(A115,refunds!$B$2:$B$15,refunds!$D$2:$D$15,0,0)</f>
        <v>0</v>
      </c>
      <c r="Q115" s="4" t="str">
        <f>IF(OR(payments[[#This Row],[completed_at]]="",payments[[#This Row],[completed_at]]=0),"",TEXT(payments[[#This Row],[completed_at]],"yyyy-mm"))</f>
        <v>2026-04</v>
      </c>
    </row>
    <row r="116" spans="1:17">
      <c r="A116">
        <v>100</v>
      </c>
      <c r="B116">
        <v>310</v>
      </c>
      <c r="C116">
        <v>3</v>
      </c>
      <c r="D116" s="3">
        <v>46134.8987037037</v>
      </c>
      <c r="E116" s="3">
        <v>46134.8988194444</v>
      </c>
      <c r="F116" t="s">
        <v>25</v>
      </c>
      <c r="G116">
        <v>19.99</v>
      </c>
      <c r="H116">
        <v>600</v>
      </c>
      <c r="I116" s="4" t="str">
        <f>_xlfn.XLOOKUP(B116,users!A:A,users!C:C)</f>
        <v>DE</v>
      </c>
      <c r="J116" s="4" t="str">
        <f>_xlfn.XLOOKUP(B116,users!A:A,users!D:D)</f>
        <v>mobile</v>
      </c>
      <c r="K116" s="4" t="str">
        <f>_xlfn.XLOOKUP(C116,coin_packages!A:A,coin_packages!B:B)</f>
        <v>Large</v>
      </c>
      <c r="L116" s="4" t="str">
        <f t="array" ref="L116">INDEX(coin_packages!$B$2:$B$5,MATCH(C116,coin_packages!$A$2:$A$5,0))</f>
        <v>Large</v>
      </c>
      <c r="M116" s="4">
        <f t="shared" si="2"/>
        <v>19.99</v>
      </c>
      <c r="N116" s="4" t="b">
        <f t="shared" si="3"/>
        <v>0</v>
      </c>
      <c r="O116" s="4" t="b">
        <f>COUNTIF(refunds!$B$2:$B$15,A116)&gt;0</f>
        <v>0</v>
      </c>
      <c r="P116" s="4">
        <f>_xlfn.XLOOKUP(A116,refunds!$B$2:$B$15,refunds!$D$2:$D$15,0,0)</f>
        <v>0</v>
      </c>
      <c r="Q116" s="4" t="str">
        <f>IF(OR(payments[[#This Row],[completed_at]]="",payments[[#This Row],[completed_at]]=0),"",TEXT(payments[[#This Row],[completed_at]],"yyyy-mm"))</f>
        <v>2026-04</v>
      </c>
    </row>
    <row r="117" spans="1:17">
      <c r="A117">
        <v>102</v>
      </c>
      <c r="B117">
        <v>314</v>
      </c>
      <c r="C117">
        <v>2</v>
      </c>
      <c r="D117" s="3">
        <v>46150.7555324074</v>
      </c>
      <c r="E117" s="3">
        <v>46150.7556481482</v>
      </c>
      <c r="F117" t="s">
        <v>25</v>
      </c>
      <c r="G117">
        <v>7.99</v>
      </c>
      <c r="H117">
        <v>250</v>
      </c>
      <c r="I117" s="4" t="str">
        <f>_xlfn.XLOOKUP(B117,users!A:A,users!C:C)</f>
        <v>UA</v>
      </c>
      <c r="J117" s="4" t="str">
        <f>_xlfn.XLOOKUP(B117,users!A:A,users!D:D)</f>
        <v>tablet</v>
      </c>
      <c r="K117" s="4" t="str">
        <f>_xlfn.XLOOKUP(C117,coin_packages!A:A,coin_packages!B:B)</f>
        <v>Medium</v>
      </c>
      <c r="L117" s="4" t="str">
        <f t="array" ref="L117">INDEX(coin_packages!$B$2:$B$5,MATCH(C117,coin_packages!$A$2:$A$5,0))</f>
        <v>Medium</v>
      </c>
      <c r="M117" s="4">
        <f t="shared" si="2"/>
        <v>7.99</v>
      </c>
      <c r="N117" s="4" t="b">
        <f t="shared" si="3"/>
        <v>0</v>
      </c>
      <c r="O117" s="4" t="b">
        <f>COUNTIF(refunds!$B$2:$B$15,A117)&gt;0</f>
        <v>0</v>
      </c>
      <c r="P117" s="4">
        <f>_xlfn.XLOOKUP(A117,refunds!$B$2:$B$15,refunds!$D$2:$D$15,0,0)</f>
        <v>0</v>
      </c>
      <c r="Q117" s="4" t="str">
        <f>IF(OR(payments[[#This Row],[completed_at]]="",payments[[#This Row],[completed_at]]=0),"",TEXT(payments[[#This Row],[completed_at]],"yyyy-mm"))</f>
        <v>2026-05</v>
      </c>
    </row>
    <row r="118" spans="1:17">
      <c r="A118">
        <v>101</v>
      </c>
      <c r="B118">
        <v>314</v>
      </c>
      <c r="C118">
        <v>1</v>
      </c>
      <c r="D118" s="3">
        <v>46140.3355671296</v>
      </c>
      <c r="E118" s="3">
        <v>46140.3356828704</v>
      </c>
      <c r="F118" t="s">
        <v>25</v>
      </c>
      <c r="G118">
        <v>4.99</v>
      </c>
      <c r="H118">
        <v>100</v>
      </c>
      <c r="I118" s="4" t="str">
        <f>_xlfn.XLOOKUP(B118,users!A:A,users!C:C)</f>
        <v>UA</v>
      </c>
      <c r="J118" s="4" t="str">
        <f>_xlfn.XLOOKUP(B118,users!A:A,users!D:D)</f>
        <v>tablet</v>
      </c>
      <c r="K118" s="4" t="str">
        <f>_xlfn.XLOOKUP(C118,coin_packages!A:A,coin_packages!B:B)</f>
        <v>Small</v>
      </c>
      <c r="L118" s="4" t="str">
        <f t="array" ref="L118">INDEX(coin_packages!$B$2:$B$5,MATCH(C118,coin_packages!$A$2:$A$5,0))</f>
        <v>Small</v>
      </c>
      <c r="M118" s="4">
        <f t="shared" si="2"/>
        <v>4.99</v>
      </c>
      <c r="N118" s="4" t="b">
        <f t="shared" si="3"/>
        <v>0</v>
      </c>
      <c r="O118" s="4" t="b">
        <f>COUNTIF(refunds!$B$2:$B$15,A118)&gt;0</f>
        <v>1</v>
      </c>
      <c r="P118" s="4">
        <f>_xlfn.XLOOKUP(A118,refunds!$B$2:$B$15,refunds!$D$2:$D$15,0,0)</f>
        <v>4.99</v>
      </c>
      <c r="Q118" s="4" t="str">
        <f>IF(OR(payments[[#This Row],[completed_at]]="",payments[[#This Row],[completed_at]]=0),"",TEXT(payments[[#This Row],[completed_at]],"yyyy-mm"))</f>
        <v>2026-04</v>
      </c>
    </row>
    <row r="119" spans="1:17">
      <c r="A119">
        <v>105</v>
      </c>
      <c r="B119">
        <v>320</v>
      </c>
      <c r="C119">
        <v>3</v>
      </c>
      <c r="D119" s="3">
        <v>46160.6518634259</v>
      </c>
      <c r="E119" s="3">
        <v>46160.6519791667</v>
      </c>
      <c r="F119" t="s">
        <v>25</v>
      </c>
      <c r="G119">
        <v>19.99</v>
      </c>
      <c r="H119">
        <v>600</v>
      </c>
      <c r="I119" s="4" t="str">
        <f>_xlfn.XLOOKUP(B119,users!A:A,users!C:C)</f>
        <v>UA</v>
      </c>
      <c r="J119" s="4" t="str">
        <f>_xlfn.XLOOKUP(B119,users!A:A,users!D:D)</f>
        <v>desktop</v>
      </c>
      <c r="K119" s="4" t="str">
        <f>_xlfn.XLOOKUP(C119,coin_packages!A:A,coin_packages!B:B)</f>
        <v>Large</v>
      </c>
      <c r="L119" s="4" t="str">
        <f t="array" ref="L119">INDEX(coin_packages!$B$2:$B$5,MATCH(C119,coin_packages!$A$2:$A$5,0))</f>
        <v>Large</v>
      </c>
      <c r="M119" s="4">
        <f t="shared" si="2"/>
        <v>19.99</v>
      </c>
      <c r="N119" s="4" t="b">
        <f t="shared" si="3"/>
        <v>0</v>
      </c>
      <c r="O119" s="4" t="b">
        <f>COUNTIF(refunds!$B$2:$B$15,A119)&gt;0</f>
        <v>0</v>
      </c>
      <c r="P119" s="4">
        <f>_xlfn.XLOOKUP(A119,refunds!$B$2:$B$15,refunds!$D$2:$D$15,0,0)</f>
        <v>0</v>
      </c>
      <c r="Q119" s="4" t="str">
        <f>IF(OR(payments[[#This Row],[completed_at]]="",payments[[#This Row],[completed_at]]=0),"",TEXT(payments[[#This Row],[completed_at]],"yyyy-mm"))</f>
        <v>2026-05</v>
      </c>
    </row>
    <row r="120" spans="1:17">
      <c r="A120">
        <v>104</v>
      </c>
      <c r="B120">
        <v>320</v>
      </c>
      <c r="C120">
        <v>3</v>
      </c>
      <c r="D120" s="3">
        <v>46154.5309027778</v>
      </c>
      <c r="E120" s="3">
        <v>46154.5310185185</v>
      </c>
      <c r="F120" t="s">
        <v>25</v>
      </c>
      <c r="G120">
        <v>19.99</v>
      </c>
      <c r="H120">
        <v>600</v>
      </c>
      <c r="I120" s="4" t="str">
        <f>_xlfn.XLOOKUP(B120,users!A:A,users!C:C)</f>
        <v>UA</v>
      </c>
      <c r="J120" s="4" t="str">
        <f>_xlfn.XLOOKUP(B120,users!A:A,users!D:D)</f>
        <v>desktop</v>
      </c>
      <c r="K120" s="4" t="str">
        <f>_xlfn.XLOOKUP(C120,coin_packages!A:A,coin_packages!B:B)</f>
        <v>Large</v>
      </c>
      <c r="L120" s="4" t="str">
        <f t="array" ref="L120">INDEX(coin_packages!$B$2:$B$5,MATCH(C120,coin_packages!$A$2:$A$5,0))</f>
        <v>Large</v>
      </c>
      <c r="M120" s="4">
        <f t="shared" si="2"/>
        <v>19.99</v>
      </c>
      <c r="N120" s="4" t="b">
        <f t="shared" si="3"/>
        <v>0</v>
      </c>
      <c r="O120" s="4" t="b">
        <f>COUNTIF(refunds!$B$2:$B$15,A120)&gt;0</f>
        <v>1</v>
      </c>
      <c r="P120" s="4">
        <f>_xlfn.XLOOKUP(A120,refunds!$B$2:$B$15,refunds!$D$2:$D$15,0,0)</f>
        <v>19.99</v>
      </c>
      <c r="Q120" s="4" t="str">
        <f>IF(OR(payments[[#This Row],[completed_at]]="",payments[[#This Row],[completed_at]]=0),"",TEXT(payments[[#This Row],[completed_at]],"yyyy-mm"))</f>
        <v>2026-05</v>
      </c>
    </row>
    <row r="121" spans="1:17">
      <c r="A121">
        <v>103</v>
      </c>
      <c r="B121">
        <v>320</v>
      </c>
      <c r="C121">
        <v>1</v>
      </c>
      <c r="D121" s="3">
        <v>46118.039224537</v>
      </c>
      <c r="E121" s="3">
        <v>46118.0393402778</v>
      </c>
      <c r="F121" t="s">
        <v>25</v>
      </c>
      <c r="G121">
        <v>4.99</v>
      </c>
      <c r="H121">
        <v>100</v>
      </c>
      <c r="I121" s="4" t="str">
        <f>_xlfn.XLOOKUP(B121,users!A:A,users!C:C)</f>
        <v>UA</v>
      </c>
      <c r="J121" s="4" t="str">
        <f>_xlfn.XLOOKUP(B121,users!A:A,users!D:D)</f>
        <v>desktop</v>
      </c>
      <c r="K121" s="4" t="str">
        <f>_xlfn.XLOOKUP(C121,coin_packages!A:A,coin_packages!B:B)</f>
        <v>Small</v>
      </c>
      <c r="L121" s="4" t="str">
        <f t="array" ref="L121">INDEX(coin_packages!$B$2:$B$5,MATCH(C121,coin_packages!$A$2:$A$5,0))</f>
        <v>Small</v>
      </c>
      <c r="M121" s="4">
        <f t="shared" si="2"/>
        <v>4.99</v>
      </c>
      <c r="N121" s="4" t="b">
        <f t="shared" si="3"/>
        <v>0</v>
      </c>
      <c r="O121" s="4" t="b">
        <f>COUNTIF(refunds!$B$2:$B$15,A121)&gt;0</f>
        <v>0</v>
      </c>
      <c r="P121" s="4">
        <f>_xlfn.XLOOKUP(A121,refunds!$B$2:$B$15,refunds!$D$2:$D$15,0,0)</f>
        <v>0</v>
      </c>
      <c r="Q121" s="4" t="str">
        <f>IF(OR(payments[[#This Row],[completed_at]]="",payments[[#This Row],[completed_at]]=0),"",TEXT(payments[[#This Row],[completed_at]],"yyyy-mm"))</f>
        <v>2026-04</v>
      </c>
    </row>
    <row r="122" spans="1:17">
      <c r="A122">
        <v>106</v>
      </c>
      <c r="B122">
        <v>323</v>
      </c>
      <c r="C122">
        <v>2</v>
      </c>
      <c r="D122" s="3">
        <v>46155.9735763889</v>
      </c>
      <c r="E122" s="3">
        <v>46155.9736921296</v>
      </c>
      <c r="F122" t="s">
        <v>25</v>
      </c>
      <c r="G122">
        <v>9.99</v>
      </c>
      <c r="H122">
        <v>250</v>
      </c>
      <c r="I122" s="4" t="str">
        <f>_xlfn.XLOOKUP(B122,users!A:A,users!C:C)</f>
        <v>UA</v>
      </c>
      <c r="J122" s="4" t="str">
        <f>_xlfn.XLOOKUP(B122,users!A:A,users!D:D)</f>
        <v>mobile</v>
      </c>
      <c r="K122" s="4" t="str">
        <f>_xlfn.XLOOKUP(C122,coin_packages!A:A,coin_packages!B:B)</f>
        <v>Medium</v>
      </c>
      <c r="L122" s="4" t="str">
        <f t="array" ref="L122">INDEX(coin_packages!$B$2:$B$5,MATCH(C122,coin_packages!$A$2:$A$5,0))</f>
        <v>Medium</v>
      </c>
      <c r="M122" s="4">
        <f t="shared" si="2"/>
        <v>9.99</v>
      </c>
      <c r="N122" s="4" t="b">
        <f t="shared" si="3"/>
        <v>0</v>
      </c>
      <c r="O122" s="4" t="b">
        <f>COUNTIF(refunds!$B$2:$B$15,A122)&gt;0</f>
        <v>0</v>
      </c>
      <c r="P122" s="4">
        <f>_xlfn.XLOOKUP(A122,refunds!$B$2:$B$15,refunds!$D$2:$D$15,0,0)</f>
        <v>0</v>
      </c>
      <c r="Q122" s="4" t="str">
        <f>IF(OR(payments[[#This Row],[completed_at]]="",payments[[#This Row],[completed_at]]=0),"",TEXT(payments[[#This Row],[completed_at]],"yyyy-mm"))</f>
        <v>2026-05</v>
      </c>
    </row>
    <row r="123" spans="1:17">
      <c r="A123">
        <v>107</v>
      </c>
      <c r="B123">
        <v>326</v>
      </c>
      <c r="C123">
        <v>2</v>
      </c>
      <c r="D123" s="3">
        <v>46170.6423263889</v>
      </c>
      <c r="E123" s="3">
        <v>46170.6424421296</v>
      </c>
      <c r="F123" t="s">
        <v>25</v>
      </c>
      <c r="G123">
        <v>9.99</v>
      </c>
      <c r="H123">
        <v>250</v>
      </c>
      <c r="I123" s="4" t="str">
        <f>_xlfn.XLOOKUP(B123,users!A:A,users!C:C)</f>
        <v>US</v>
      </c>
      <c r="J123" s="4" t="str">
        <f>_xlfn.XLOOKUP(B123,users!A:A,users!D:D)</f>
        <v>mobile</v>
      </c>
      <c r="K123" s="4" t="str">
        <f>_xlfn.XLOOKUP(C123,coin_packages!A:A,coin_packages!B:B)</f>
        <v>Medium</v>
      </c>
      <c r="L123" s="4" t="str">
        <f t="array" ref="L123">INDEX(coin_packages!$B$2:$B$5,MATCH(C123,coin_packages!$A$2:$A$5,0))</f>
        <v>Medium</v>
      </c>
      <c r="M123" s="4">
        <f t="shared" si="2"/>
        <v>9.99</v>
      </c>
      <c r="N123" s="4" t="b">
        <f t="shared" si="3"/>
        <v>1</v>
      </c>
      <c r="O123" s="4" t="b">
        <f>COUNTIF(refunds!$B$2:$B$15,A123)&gt;0</f>
        <v>0</v>
      </c>
      <c r="P123" s="4">
        <f>_xlfn.XLOOKUP(A123,refunds!$B$2:$B$15,refunds!$D$2:$D$15,0,0)</f>
        <v>0</v>
      </c>
      <c r="Q123" s="4" t="str">
        <f>IF(OR(payments[[#This Row],[completed_at]]="",payments[[#This Row],[completed_at]]=0),"",TEXT(payments[[#This Row],[completed_at]],"yyyy-mm"))</f>
        <v>2026-05</v>
      </c>
    </row>
    <row r="124" spans="1:17">
      <c r="A124">
        <v>108</v>
      </c>
      <c r="B124">
        <v>333</v>
      </c>
      <c r="C124">
        <v>2</v>
      </c>
      <c r="D124" s="3">
        <v>46100.8519791667</v>
      </c>
      <c r="E124" s="3">
        <v>46100.8520949074</v>
      </c>
      <c r="F124" t="s">
        <v>25</v>
      </c>
      <c r="G124">
        <v>9.99</v>
      </c>
      <c r="H124">
        <v>250</v>
      </c>
      <c r="I124" s="4" t="str">
        <f>_xlfn.XLOOKUP(B124,users!A:A,users!C:C)</f>
        <v>US</v>
      </c>
      <c r="J124" s="4" t="str">
        <f>_xlfn.XLOOKUP(B124,users!A:A,users!D:D)</f>
        <v>mobile</v>
      </c>
      <c r="K124" s="4" t="str">
        <f>_xlfn.XLOOKUP(C124,coin_packages!A:A,coin_packages!B:B)</f>
        <v>Medium</v>
      </c>
      <c r="L124" s="4" t="str">
        <f t="array" ref="L124">INDEX(coin_packages!$B$2:$B$5,MATCH(C124,coin_packages!$A$2:$A$5,0))</f>
        <v>Medium</v>
      </c>
      <c r="M124" s="4">
        <f t="shared" si="2"/>
        <v>9.99</v>
      </c>
      <c r="N124" s="4" t="b">
        <f t="shared" si="3"/>
        <v>1</v>
      </c>
      <c r="O124" s="4" t="b">
        <f>COUNTIF(refunds!$B$2:$B$15,A124)&gt;0</f>
        <v>0</v>
      </c>
      <c r="P124" s="4">
        <f>_xlfn.XLOOKUP(A124,refunds!$B$2:$B$15,refunds!$D$2:$D$15,0,0)</f>
        <v>0</v>
      </c>
      <c r="Q124" s="4" t="str">
        <f>IF(OR(payments[[#This Row],[completed_at]]="",payments[[#This Row],[completed_at]]=0),"",TEXT(payments[[#This Row],[completed_at]],"yyyy-mm"))</f>
        <v>2026-03</v>
      </c>
    </row>
    <row r="125" spans="1:17">
      <c r="A125">
        <v>109</v>
      </c>
      <c r="B125">
        <v>335</v>
      </c>
      <c r="C125">
        <v>2</v>
      </c>
      <c r="D125" s="3">
        <v>46098.6730555556</v>
      </c>
      <c r="E125" s="3">
        <v>46098.6731712963</v>
      </c>
      <c r="F125" t="s">
        <v>25</v>
      </c>
      <c r="G125">
        <v>9.99</v>
      </c>
      <c r="H125">
        <v>250</v>
      </c>
      <c r="I125" s="4" t="str">
        <f>_xlfn.XLOOKUP(B125,users!A:A,users!C:C)</f>
        <v>DE</v>
      </c>
      <c r="J125" s="4" t="str">
        <f>_xlfn.XLOOKUP(B125,users!A:A,users!D:D)</f>
        <v>desktop</v>
      </c>
      <c r="K125" s="4" t="str">
        <f>_xlfn.XLOOKUP(C125,coin_packages!A:A,coin_packages!B:B)</f>
        <v>Medium</v>
      </c>
      <c r="L125" s="4" t="str">
        <f t="array" ref="L125">INDEX(coin_packages!$B$2:$B$5,MATCH(C125,coin_packages!$A$2:$A$5,0))</f>
        <v>Medium</v>
      </c>
      <c r="M125" s="4">
        <f t="shared" si="2"/>
        <v>9.99</v>
      </c>
      <c r="N125" s="4" t="b">
        <f t="shared" si="3"/>
        <v>0</v>
      </c>
      <c r="O125" s="4" t="b">
        <f>COUNTIF(refunds!$B$2:$B$15,A125)&gt;0</f>
        <v>0</v>
      </c>
      <c r="P125" s="4">
        <f>_xlfn.XLOOKUP(A125,refunds!$B$2:$B$15,refunds!$D$2:$D$15,0,0)</f>
        <v>0</v>
      </c>
      <c r="Q125" s="4" t="str">
        <f>IF(OR(payments[[#This Row],[completed_at]]="",payments[[#This Row],[completed_at]]=0),"",TEXT(payments[[#This Row],[completed_at]],"yyyy-mm"))</f>
        <v>2026-03</v>
      </c>
    </row>
    <row r="126" spans="1:17">
      <c r="A126">
        <v>113</v>
      </c>
      <c r="B126">
        <v>336</v>
      </c>
      <c r="C126">
        <v>2</v>
      </c>
      <c r="D126" s="3">
        <v>46201.1632291667</v>
      </c>
      <c r="E126" s="3">
        <v>46201.1633449074</v>
      </c>
      <c r="F126" t="s">
        <v>25</v>
      </c>
      <c r="G126">
        <v>9.99</v>
      </c>
      <c r="H126">
        <v>250</v>
      </c>
      <c r="I126" s="4" t="str">
        <f>_xlfn.XLOOKUP(B126,users!A:A,users!C:C)</f>
        <v>DE</v>
      </c>
      <c r="J126" s="4" t="str">
        <f>_xlfn.XLOOKUP(B126,users!A:A,users!D:D)</f>
        <v>tablet</v>
      </c>
      <c r="K126" s="4" t="str">
        <f>_xlfn.XLOOKUP(C126,coin_packages!A:A,coin_packages!B:B)</f>
        <v>Medium</v>
      </c>
      <c r="L126" s="4" t="str">
        <f t="array" ref="L126">INDEX(coin_packages!$B$2:$B$5,MATCH(C126,coin_packages!$A$2:$A$5,0))</f>
        <v>Medium</v>
      </c>
      <c r="M126" s="4">
        <f t="shared" si="2"/>
        <v>9.99</v>
      </c>
      <c r="N126" s="4" t="b">
        <f t="shared" si="3"/>
        <v>0</v>
      </c>
      <c r="O126" s="4" t="b">
        <f>COUNTIF(refunds!$B$2:$B$15,A126)&gt;0</f>
        <v>0</v>
      </c>
      <c r="P126" s="4">
        <f>_xlfn.XLOOKUP(A126,refunds!$B$2:$B$15,refunds!$D$2:$D$15,0,0)</f>
        <v>0</v>
      </c>
      <c r="Q126" s="4" t="str">
        <f>IF(OR(payments[[#This Row],[completed_at]]="",payments[[#This Row],[completed_at]]=0),"",TEXT(payments[[#This Row],[completed_at]],"yyyy-mm"))</f>
        <v>2026-06</v>
      </c>
    </row>
    <row r="127" spans="1:17">
      <c r="A127">
        <v>112</v>
      </c>
      <c r="B127">
        <v>336</v>
      </c>
      <c r="C127">
        <v>2</v>
      </c>
      <c r="D127" s="3">
        <v>46200.0688888889</v>
      </c>
      <c r="F127" t="s">
        <v>56</v>
      </c>
      <c r="G127">
        <v>9.99</v>
      </c>
      <c r="H127">
        <v>0</v>
      </c>
      <c r="I127" s="4" t="str">
        <f>_xlfn.XLOOKUP(B127,users!A:A,users!C:C)</f>
        <v>DE</v>
      </c>
      <c r="J127" s="4" t="str">
        <f>_xlfn.XLOOKUP(B127,users!A:A,users!D:D)</f>
        <v>tablet</v>
      </c>
      <c r="K127" s="4" t="str">
        <f>_xlfn.XLOOKUP(C127,coin_packages!A:A,coin_packages!B:B)</f>
        <v>Medium</v>
      </c>
      <c r="L127" s="4" t="str">
        <f t="array" ref="L127">INDEX(coin_packages!$B$2:$B$5,MATCH(C127,coin_packages!$A$2:$A$5,0))</f>
        <v>Medium</v>
      </c>
      <c r="M127" s="4">
        <f t="shared" si="2"/>
        <v>0</v>
      </c>
      <c r="N127" s="4" t="b">
        <f t="shared" si="3"/>
        <v>0</v>
      </c>
      <c r="O127" s="4" t="b">
        <f>COUNTIF(refunds!$B$2:$B$15,A127)&gt;0</f>
        <v>0</v>
      </c>
      <c r="P127" s="4">
        <f>_xlfn.XLOOKUP(A127,refunds!$B$2:$B$15,refunds!$D$2:$D$15,0,0)</f>
        <v>0</v>
      </c>
      <c r="Q127" s="4" t="str">
        <f>IF(OR(payments[[#This Row],[completed_at]]="",payments[[#This Row],[completed_at]]=0),"",TEXT(payments[[#This Row],[completed_at]],"yyyy-mm"))</f>
        <v/>
      </c>
    </row>
    <row r="128" spans="1:17">
      <c r="A128">
        <v>111</v>
      </c>
      <c r="B128">
        <v>336</v>
      </c>
      <c r="C128">
        <v>2</v>
      </c>
      <c r="D128" s="3">
        <v>46199.9594328704</v>
      </c>
      <c r="F128" t="s">
        <v>56</v>
      </c>
      <c r="G128">
        <v>9.99</v>
      </c>
      <c r="H128">
        <v>0</v>
      </c>
      <c r="I128" s="4" t="str">
        <f>_xlfn.XLOOKUP(B128,users!A:A,users!C:C)</f>
        <v>DE</v>
      </c>
      <c r="J128" s="4" t="str">
        <f>_xlfn.XLOOKUP(B128,users!A:A,users!D:D)</f>
        <v>tablet</v>
      </c>
      <c r="K128" s="4" t="str">
        <f>_xlfn.XLOOKUP(C128,coin_packages!A:A,coin_packages!B:B)</f>
        <v>Medium</v>
      </c>
      <c r="L128" s="4" t="str">
        <f t="array" ref="L128">INDEX(coin_packages!$B$2:$B$5,MATCH(C128,coin_packages!$A$2:$A$5,0))</f>
        <v>Medium</v>
      </c>
      <c r="M128" s="4">
        <f t="shared" si="2"/>
        <v>0</v>
      </c>
      <c r="N128" s="4" t="b">
        <f t="shared" si="3"/>
        <v>0</v>
      </c>
      <c r="O128" s="4" t="b">
        <f>COUNTIF(refunds!$B$2:$B$15,A128)&gt;0</f>
        <v>0</v>
      </c>
      <c r="P128" s="4">
        <f>_xlfn.XLOOKUP(A128,refunds!$B$2:$B$15,refunds!$D$2:$D$15,0,0)</f>
        <v>0</v>
      </c>
      <c r="Q128" s="4" t="str">
        <f>IF(OR(payments[[#This Row],[completed_at]]="",payments[[#This Row],[completed_at]]=0),"",TEXT(payments[[#This Row],[completed_at]],"yyyy-mm"))</f>
        <v/>
      </c>
    </row>
    <row r="129" spans="1:17">
      <c r="A129">
        <v>110</v>
      </c>
      <c r="B129">
        <v>336</v>
      </c>
      <c r="C129">
        <v>1</v>
      </c>
      <c r="D129" s="3">
        <v>46172.9293981481</v>
      </c>
      <c r="E129" s="3">
        <v>46172.9295138889</v>
      </c>
      <c r="F129" t="s">
        <v>25</v>
      </c>
      <c r="G129">
        <v>4.99</v>
      </c>
      <c r="H129">
        <v>100</v>
      </c>
      <c r="I129" s="4" t="str">
        <f>_xlfn.XLOOKUP(B129,users!A:A,users!C:C)</f>
        <v>DE</v>
      </c>
      <c r="J129" s="4" t="str">
        <f>_xlfn.XLOOKUP(B129,users!A:A,users!D:D)</f>
        <v>tablet</v>
      </c>
      <c r="K129" s="4" t="str">
        <f>_xlfn.XLOOKUP(C129,coin_packages!A:A,coin_packages!B:B)</f>
        <v>Small</v>
      </c>
      <c r="L129" s="4" t="str">
        <f t="array" ref="L129">INDEX(coin_packages!$B$2:$B$5,MATCH(C129,coin_packages!$A$2:$A$5,0))</f>
        <v>Small</v>
      </c>
      <c r="M129" s="4">
        <f t="shared" si="2"/>
        <v>4.99</v>
      </c>
      <c r="N129" s="4" t="b">
        <f t="shared" si="3"/>
        <v>0</v>
      </c>
      <c r="O129" s="4" t="b">
        <f>COUNTIF(refunds!$B$2:$B$15,A129)&gt;0</f>
        <v>0</v>
      </c>
      <c r="P129" s="4">
        <f>_xlfn.XLOOKUP(A129,refunds!$B$2:$B$15,refunds!$D$2:$D$15,0,0)</f>
        <v>0</v>
      </c>
      <c r="Q129" s="4" t="str">
        <f>IF(OR(payments[[#This Row],[completed_at]]="",payments[[#This Row],[completed_at]]=0),"",TEXT(payments[[#This Row],[completed_at]],"yyyy-mm"))</f>
        <v>2026-05</v>
      </c>
    </row>
    <row r="130" spans="1:17">
      <c r="A130">
        <v>115</v>
      </c>
      <c r="B130">
        <v>342</v>
      </c>
      <c r="C130">
        <v>2</v>
      </c>
      <c r="D130" s="3">
        <v>46165.8342824074</v>
      </c>
      <c r="E130" s="3">
        <v>46165.8343981481</v>
      </c>
      <c r="F130" t="s">
        <v>25</v>
      </c>
      <c r="G130">
        <v>9.99</v>
      </c>
      <c r="H130">
        <v>250</v>
      </c>
      <c r="I130" s="4" t="str">
        <f>_xlfn.XLOOKUP(B130,users!A:A,users!C:C)</f>
        <v>DE</v>
      </c>
      <c r="J130" s="4" t="str">
        <f>_xlfn.XLOOKUP(B130,users!A:A,users!D:D)</f>
        <v>tablet</v>
      </c>
      <c r="K130" s="4" t="str">
        <f>_xlfn.XLOOKUP(C130,coin_packages!A:A,coin_packages!B:B)</f>
        <v>Medium</v>
      </c>
      <c r="L130" s="4" t="str">
        <f t="array" ref="L130">INDEX(coin_packages!$B$2:$B$5,MATCH(C130,coin_packages!$A$2:$A$5,0))</f>
        <v>Medium</v>
      </c>
      <c r="M130" s="4">
        <f t="shared" ref="M130:M193" si="4">IF(F130="succeeded",G130,0)</f>
        <v>9.99</v>
      </c>
      <c r="N130" s="4" t="b">
        <f t="shared" ref="N130:N193" si="5">AND(F130="succeeded",I130="US",OR(J130="tablet",J130="mobile"))</f>
        <v>0</v>
      </c>
      <c r="O130" s="4" t="b">
        <f>COUNTIF(refunds!$B$2:$B$15,A130)&gt;0</f>
        <v>0</v>
      </c>
      <c r="P130" s="4">
        <f>_xlfn.XLOOKUP(A130,refunds!$B$2:$B$15,refunds!$D$2:$D$15,0,0)</f>
        <v>0</v>
      </c>
      <c r="Q130" s="4" t="str">
        <f>IF(OR(payments[[#This Row],[completed_at]]="",payments[[#This Row],[completed_at]]=0),"",TEXT(payments[[#This Row],[completed_at]],"yyyy-mm"))</f>
        <v>2026-05</v>
      </c>
    </row>
    <row r="131" spans="1:17">
      <c r="A131">
        <v>114</v>
      </c>
      <c r="B131">
        <v>342</v>
      </c>
      <c r="C131">
        <v>3</v>
      </c>
      <c r="D131" s="3">
        <v>46164.2309259259</v>
      </c>
      <c r="E131" s="3">
        <v>46164.2310416667</v>
      </c>
      <c r="F131" t="s">
        <v>25</v>
      </c>
      <c r="G131">
        <v>19.99</v>
      </c>
      <c r="H131">
        <v>600</v>
      </c>
      <c r="I131" s="4" t="str">
        <f>_xlfn.XLOOKUP(B131,users!A:A,users!C:C)</f>
        <v>DE</v>
      </c>
      <c r="J131" s="4" t="str">
        <f>_xlfn.XLOOKUP(B131,users!A:A,users!D:D)</f>
        <v>tablet</v>
      </c>
      <c r="K131" s="4" t="str">
        <f>_xlfn.XLOOKUP(C131,coin_packages!A:A,coin_packages!B:B)</f>
        <v>Large</v>
      </c>
      <c r="L131" s="4" t="str">
        <f t="array" ref="L131">INDEX(coin_packages!$B$2:$B$5,MATCH(C131,coin_packages!$A$2:$A$5,0))</f>
        <v>Large</v>
      </c>
      <c r="M131" s="4">
        <f t="shared" si="4"/>
        <v>19.99</v>
      </c>
      <c r="N131" s="4" t="b">
        <f t="shared" si="5"/>
        <v>0</v>
      </c>
      <c r="O131" s="4" t="b">
        <f>COUNTIF(refunds!$B$2:$B$15,A131)&gt;0</f>
        <v>1</v>
      </c>
      <c r="P131" s="4">
        <f>_xlfn.XLOOKUP(A131,refunds!$B$2:$B$15,refunds!$D$2:$D$15,0,0)</f>
        <v>19.99</v>
      </c>
      <c r="Q131" s="4" t="str">
        <f>IF(OR(payments[[#This Row],[completed_at]]="",payments[[#This Row],[completed_at]]=0),"",TEXT(payments[[#This Row],[completed_at]],"yyyy-mm"))</f>
        <v>2026-05</v>
      </c>
    </row>
    <row r="132" spans="1:17">
      <c r="A132">
        <v>116</v>
      </c>
      <c r="B132">
        <v>345</v>
      </c>
      <c r="C132">
        <v>3</v>
      </c>
      <c r="D132" s="3">
        <v>46159.2068287037</v>
      </c>
      <c r="E132" s="3">
        <v>46159.2069444444</v>
      </c>
      <c r="F132" t="s">
        <v>25</v>
      </c>
      <c r="G132">
        <v>19.99</v>
      </c>
      <c r="H132">
        <v>600</v>
      </c>
      <c r="I132" s="4" t="str">
        <f>_xlfn.XLOOKUP(B132,users!A:A,users!C:C)</f>
        <v>CA</v>
      </c>
      <c r="J132" s="4" t="str">
        <f>_xlfn.XLOOKUP(B132,users!A:A,users!D:D)</f>
        <v>tablet</v>
      </c>
      <c r="K132" s="4" t="str">
        <f>_xlfn.XLOOKUP(C132,coin_packages!A:A,coin_packages!B:B)</f>
        <v>Large</v>
      </c>
      <c r="L132" s="4" t="str">
        <f t="array" ref="L132">INDEX(coin_packages!$B$2:$B$5,MATCH(C132,coin_packages!$A$2:$A$5,0))</f>
        <v>Large</v>
      </c>
      <c r="M132" s="4">
        <f t="shared" si="4"/>
        <v>19.99</v>
      </c>
      <c r="N132" s="4" t="b">
        <f t="shared" si="5"/>
        <v>0</v>
      </c>
      <c r="O132" s="4" t="b">
        <f>COUNTIF(refunds!$B$2:$B$15,A132)&gt;0</f>
        <v>0</v>
      </c>
      <c r="P132" s="4">
        <f>_xlfn.XLOOKUP(A132,refunds!$B$2:$B$15,refunds!$D$2:$D$15,0,0)</f>
        <v>0</v>
      </c>
      <c r="Q132" s="4" t="str">
        <f>IF(OR(payments[[#This Row],[completed_at]]="",payments[[#This Row],[completed_at]]=0),"",TEXT(payments[[#This Row],[completed_at]],"yyyy-mm"))</f>
        <v>2026-05</v>
      </c>
    </row>
    <row r="133" spans="1:17">
      <c r="A133">
        <v>118</v>
      </c>
      <c r="B133">
        <v>355</v>
      </c>
      <c r="C133">
        <v>1</v>
      </c>
      <c r="D133" s="3">
        <v>46123.3174652778</v>
      </c>
      <c r="E133" s="3">
        <v>46123.3175810185</v>
      </c>
      <c r="F133" t="s">
        <v>25</v>
      </c>
      <c r="G133">
        <v>3.99</v>
      </c>
      <c r="H133">
        <v>100</v>
      </c>
      <c r="I133" s="4" t="str">
        <f>_xlfn.XLOOKUP(B133,users!A:A,users!C:C)</f>
        <v>US</v>
      </c>
      <c r="J133" s="4" t="str">
        <f>_xlfn.XLOOKUP(B133,users!A:A,users!D:D)</f>
        <v>desktop</v>
      </c>
      <c r="K133" s="4" t="str">
        <f>_xlfn.XLOOKUP(C133,coin_packages!A:A,coin_packages!B:B)</f>
        <v>Small</v>
      </c>
      <c r="L133" s="4" t="str">
        <f t="array" ref="L133">INDEX(coin_packages!$B$2:$B$5,MATCH(C133,coin_packages!$A$2:$A$5,0))</f>
        <v>Small</v>
      </c>
      <c r="M133" s="4">
        <f t="shared" si="4"/>
        <v>3.99</v>
      </c>
      <c r="N133" s="4" t="b">
        <f t="shared" si="5"/>
        <v>0</v>
      </c>
      <c r="O133" s="4" t="b">
        <f>COUNTIF(refunds!$B$2:$B$15,A133)&gt;0</f>
        <v>0</v>
      </c>
      <c r="P133" s="4">
        <f>_xlfn.XLOOKUP(A133,refunds!$B$2:$B$15,refunds!$D$2:$D$15,0,0)</f>
        <v>0</v>
      </c>
      <c r="Q133" s="4" t="str">
        <f>IF(OR(payments[[#This Row],[completed_at]]="",payments[[#This Row],[completed_at]]=0),"",TEXT(payments[[#This Row],[completed_at]],"yyyy-mm"))</f>
        <v>2026-04</v>
      </c>
    </row>
    <row r="134" spans="1:17">
      <c r="A134">
        <v>117</v>
      </c>
      <c r="B134">
        <v>355</v>
      </c>
      <c r="C134">
        <v>1</v>
      </c>
      <c r="D134" s="3">
        <v>46120.4202893519</v>
      </c>
      <c r="F134" t="s">
        <v>56</v>
      </c>
      <c r="G134">
        <v>4.99</v>
      </c>
      <c r="H134">
        <v>0</v>
      </c>
      <c r="I134" s="4" t="str">
        <f>_xlfn.XLOOKUP(B134,users!A:A,users!C:C)</f>
        <v>US</v>
      </c>
      <c r="J134" s="4" t="str">
        <f>_xlfn.XLOOKUP(B134,users!A:A,users!D:D)</f>
        <v>desktop</v>
      </c>
      <c r="K134" s="4" t="str">
        <f>_xlfn.XLOOKUP(C134,coin_packages!A:A,coin_packages!B:B)</f>
        <v>Small</v>
      </c>
      <c r="L134" s="4" t="str">
        <f t="array" ref="L134">INDEX(coin_packages!$B$2:$B$5,MATCH(C134,coin_packages!$A$2:$A$5,0))</f>
        <v>Small</v>
      </c>
      <c r="M134" s="4">
        <f t="shared" si="4"/>
        <v>0</v>
      </c>
      <c r="N134" s="4" t="b">
        <f t="shared" si="5"/>
        <v>0</v>
      </c>
      <c r="O134" s="4" t="b">
        <f>COUNTIF(refunds!$B$2:$B$15,A134)&gt;0</f>
        <v>0</v>
      </c>
      <c r="P134" s="4">
        <f>_xlfn.XLOOKUP(A134,refunds!$B$2:$B$15,refunds!$D$2:$D$15,0,0)</f>
        <v>0</v>
      </c>
      <c r="Q134" s="4" t="str">
        <f>IF(OR(payments[[#This Row],[completed_at]]="",payments[[#This Row],[completed_at]]=0),"",TEXT(payments[[#This Row],[completed_at]],"yyyy-mm"))</f>
        <v/>
      </c>
    </row>
    <row r="135" spans="1:17">
      <c r="A135">
        <v>120</v>
      </c>
      <c r="B135">
        <v>357</v>
      </c>
      <c r="C135">
        <v>2</v>
      </c>
      <c r="D135" s="3">
        <v>46154.0861226852</v>
      </c>
      <c r="E135" s="3">
        <v>46154.0862384259</v>
      </c>
      <c r="F135" t="s">
        <v>25</v>
      </c>
      <c r="G135">
        <v>9.99</v>
      </c>
      <c r="H135">
        <v>250</v>
      </c>
      <c r="I135" s="4" t="str">
        <f>_xlfn.XLOOKUP(B135,users!A:A,users!C:C)</f>
        <v>GB</v>
      </c>
      <c r="J135" s="4" t="str">
        <f>_xlfn.XLOOKUP(B135,users!A:A,users!D:D)</f>
        <v>mobile</v>
      </c>
      <c r="K135" s="4" t="str">
        <f>_xlfn.XLOOKUP(C135,coin_packages!A:A,coin_packages!B:B)</f>
        <v>Medium</v>
      </c>
      <c r="L135" s="4" t="str">
        <f t="array" ref="L135">INDEX(coin_packages!$B$2:$B$5,MATCH(C135,coin_packages!$A$2:$A$5,0))</f>
        <v>Medium</v>
      </c>
      <c r="M135" s="4">
        <f t="shared" si="4"/>
        <v>9.99</v>
      </c>
      <c r="N135" s="4" t="b">
        <f t="shared" si="5"/>
        <v>0</v>
      </c>
      <c r="O135" s="4" t="b">
        <f>COUNTIF(refunds!$B$2:$B$15,A135)&gt;0</f>
        <v>0</v>
      </c>
      <c r="P135" s="4">
        <f>_xlfn.XLOOKUP(A135,refunds!$B$2:$B$15,refunds!$D$2:$D$15,0,0)</f>
        <v>0</v>
      </c>
      <c r="Q135" s="4" t="str">
        <f>IF(OR(payments[[#This Row],[completed_at]]="",payments[[#This Row],[completed_at]]=0),"",TEXT(payments[[#This Row],[completed_at]],"yyyy-mm"))</f>
        <v>2026-05</v>
      </c>
    </row>
    <row r="136" spans="1:17">
      <c r="A136">
        <v>119</v>
      </c>
      <c r="B136">
        <v>357</v>
      </c>
      <c r="C136">
        <v>2</v>
      </c>
      <c r="D136" s="3">
        <v>46150.471875</v>
      </c>
      <c r="F136" t="s">
        <v>56</v>
      </c>
      <c r="G136">
        <v>9.99</v>
      </c>
      <c r="H136">
        <v>0</v>
      </c>
      <c r="I136" s="4" t="str">
        <f>_xlfn.XLOOKUP(B136,users!A:A,users!C:C)</f>
        <v>GB</v>
      </c>
      <c r="J136" s="4" t="str">
        <f>_xlfn.XLOOKUP(B136,users!A:A,users!D:D)</f>
        <v>mobile</v>
      </c>
      <c r="K136" s="4" t="str">
        <f>_xlfn.XLOOKUP(C136,coin_packages!A:A,coin_packages!B:B)</f>
        <v>Medium</v>
      </c>
      <c r="L136" s="4" t="str">
        <f t="array" ref="L136">INDEX(coin_packages!$B$2:$B$5,MATCH(C136,coin_packages!$A$2:$A$5,0))</f>
        <v>Medium</v>
      </c>
      <c r="M136" s="4">
        <f t="shared" si="4"/>
        <v>0</v>
      </c>
      <c r="N136" s="4" t="b">
        <f t="shared" si="5"/>
        <v>0</v>
      </c>
      <c r="O136" s="4" t="b">
        <f>COUNTIF(refunds!$B$2:$B$15,A136)&gt;0</f>
        <v>0</v>
      </c>
      <c r="P136" s="4">
        <f>_xlfn.XLOOKUP(A136,refunds!$B$2:$B$15,refunds!$D$2:$D$15,0,0)</f>
        <v>0</v>
      </c>
      <c r="Q136" s="4" t="str">
        <f>IF(OR(payments[[#This Row],[completed_at]]="",payments[[#This Row],[completed_at]]=0),"",TEXT(payments[[#This Row],[completed_at]],"yyyy-mm"))</f>
        <v/>
      </c>
    </row>
    <row r="137" spans="1:17">
      <c r="A137">
        <v>121</v>
      </c>
      <c r="B137">
        <v>359</v>
      </c>
      <c r="C137">
        <v>2</v>
      </c>
      <c r="D137" s="3">
        <v>46074.928125</v>
      </c>
      <c r="E137" s="3">
        <v>46074.9282407407</v>
      </c>
      <c r="F137" t="s">
        <v>25</v>
      </c>
      <c r="G137">
        <v>9.99</v>
      </c>
      <c r="H137">
        <v>250</v>
      </c>
      <c r="I137" s="4" t="str">
        <f>_xlfn.XLOOKUP(B137,users!A:A,users!C:C)</f>
        <v>GB</v>
      </c>
      <c r="J137" s="4" t="str">
        <f>_xlfn.XLOOKUP(B137,users!A:A,users!D:D)</f>
        <v>mobile</v>
      </c>
      <c r="K137" s="4" t="str">
        <f>_xlfn.XLOOKUP(C137,coin_packages!A:A,coin_packages!B:B)</f>
        <v>Medium</v>
      </c>
      <c r="L137" s="4" t="str">
        <f t="array" ref="L137">INDEX(coin_packages!$B$2:$B$5,MATCH(C137,coin_packages!$A$2:$A$5,0))</f>
        <v>Medium</v>
      </c>
      <c r="M137" s="4">
        <f t="shared" si="4"/>
        <v>9.99</v>
      </c>
      <c r="N137" s="4" t="b">
        <f t="shared" si="5"/>
        <v>0</v>
      </c>
      <c r="O137" s="4" t="b">
        <f>COUNTIF(refunds!$B$2:$B$15,A137)&gt;0</f>
        <v>0</v>
      </c>
      <c r="P137" s="4">
        <f>_xlfn.XLOOKUP(A137,refunds!$B$2:$B$15,refunds!$D$2:$D$15,0,0)</f>
        <v>0</v>
      </c>
      <c r="Q137" s="4" t="str">
        <f>IF(OR(payments[[#This Row],[completed_at]]="",payments[[#This Row],[completed_at]]=0),"",TEXT(payments[[#This Row],[completed_at]],"yyyy-mm"))</f>
        <v>2026-02</v>
      </c>
    </row>
    <row r="138" spans="1:17">
      <c r="A138">
        <v>122</v>
      </c>
      <c r="B138">
        <v>364</v>
      </c>
      <c r="C138">
        <v>3</v>
      </c>
      <c r="D138" s="3">
        <v>46101.5190277778</v>
      </c>
      <c r="E138" s="3">
        <v>46101.5191435185</v>
      </c>
      <c r="F138" t="s">
        <v>25</v>
      </c>
      <c r="G138">
        <v>19.99</v>
      </c>
      <c r="H138">
        <v>600</v>
      </c>
      <c r="I138" s="4" t="str">
        <f>_xlfn.XLOOKUP(B138,users!A:A,users!C:C)</f>
        <v>UA</v>
      </c>
      <c r="J138" s="4" t="str">
        <f>_xlfn.XLOOKUP(B138,users!A:A,users!D:D)</f>
        <v>desktop</v>
      </c>
      <c r="K138" s="4" t="str">
        <f>_xlfn.XLOOKUP(C138,coin_packages!A:A,coin_packages!B:B)</f>
        <v>Large</v>
      </c>
      <c r="L138" s="4" t="str">
        <f t="array" ref="L138">INDEX(coin_packages!$B$2:$B$5,MATCH(C138,coin_packages!$A$2:$A$5,0))</f>
        <v>Large</v>
      </c>
      <c r="M138" s="4">
        <f t="shared" si="4"/>
        <v>19.99</v>
      </c>
      <c r="N138" s="4" t="b">
        <f t="shared" si="5"/>
        <v>0</v>
      </c>
      <c r="O138" s="4" t="b">
        <f>COUNTIF(refunds!$B$2:$B$15,A138)&gt;0</f>
        <v>0</v>
      </c>
      <c r="P138" s="4">
        <f>_xlfn.XLOOKUP(A138,refunds!$B$2:$B$15,refunds!$D$2:$D$15,0,0)</f>
        <v>0</v>
      </c>
      <c r="Q138" s="4" t="str">
        <f>IF(OR(payments[[#This Row],[completed_at]]="",payments[[#This Row],[completed_at]]=0),"",TEXT(payments[[#This Row],[completed_at]],"yyyy-mm"))</f>
        <v>2026-03</v>
      </c>
    </row>
    <row r="139" spans="1:17">
      <c r="A139">
        <v>123</v>
      </c>
      <c r="B139">
        <v>368</v>
      </c>
      <c r="C139">
        <v>1</v>
      </c>
      <c r="D139" s="3">
        <v>46182.1875925926</v>
      </c>
      <c r="E139" s="3">
        <v>46182.1877083333</v>
      </c>
      <c r="F139" t="s">
        <v>25</v>
      </c>
      <c r="G139">
        <v>4.99</v>
      </c>
      <c r="H139">
        <v>100</v>
      </c>
      <c r="I139" s="4" t="str">
        <f>_xlfn.XLOOKUP(B139,users!A:A,users!C:C)</f>
        <v>DE</v>
      </c>
      <c r="J139" s="4" t="str">
        <f>_xlfn.XLOOKUP(B139,users!A:A,users!D:D)</f>
        <v>mobile</v>
      </c>
      <c r="K139" s="4" t="str">
        <f>_xlfn.XLOOKUP(C139,coin_packages!A:A,coin_packages!B:B)</f>
        <v>Small</v>
      </c>
      <c r="L139" s="4" t="str">
        <f t="array" ref="L139">INDEX(coin_packages!$B$2:$B$5,MATCH(C139,coin_packages!$A$2:$A$5,0))</f>
        <v>Small</v>
      </c>
      <c r="M139" s="4">
        <f t="shared" si="4"/>
        <v>4.99</v>
      </c>
      <c r="N139" s="4" t="b">
        <f t="shared" si="5"/>
        <v>0</v>
      </c>
      <c r="O139" s="4" t="b">
        <f>COUNTIF(refunds!$B$2:$B$15,A139)&gt;0</f>
        <v>0</v>
      </c>
      <c r="P139" s="4">
        <f>_xlfn.XLOOKUP(A139,refunds!$B$2:$B$15,refunds!$D$2:$D$15,0,0)</f>
        <v>0</v>
      </c>
      <c r="Q139" s="4" t="str">
        <f>IF(OR(payments[[#This Row],[completed_at]]="",payments[[#This Row],[completed_at]]=0),"",TEXT(payments[[#This Row],[completed_at]],"yyyy-mm"))</f>
        <v>2026-06</v>
      </c>
    </row>
    <row r="140" spans="1:17">
      <c r="A140">
        <v>127</v>
      </c>
      <c r="B140">
        <v>369</v>
      </c>
      <c r="C140">
        <v>3</v>
      </c>
      <c r="D140" s="3">
        <v>46155.9157523148</v>
      </c>
      <c r="E140" s="3">
        <v>46155.9158680556</v>
      </c>
      <c r="F140" t="s">
        <v>25</v>
      </c>
      <c r="G140">
        <v>19.99</v>
      </c>
      <c r="H140">
        <v>600</v>
      </c>
      <c r="I140" s="4" t="str">
        <f>_xlfn.XLOOKUP(B140,users!A:A,users!C:C)</f>
        <v>US</v>
      </c>
      <c r="J140" s="4" t="str">
        <f>_xlfn.XLOOKUP(B140,users!A:A,users!D:D)</f>
        <v>tablet</v>
      </c>
      <c r="K140" s="4" t="str">
        <f>_xlfn.XLOOKUP(C140,coin_packages!A:A,coin_packages!B:B)</f>
        <v>Large</v>
      </c>
      <c r="L140" s="4" t="str">
        <f t="array" ref="L140">INDEX(coin_packages!$B$2:$B$5,MATCH(C140,coin_packages!$A$2:$A$5,0))</f>
        <v>Large</v>
      </c>
      <c r="M140" s="4">
        <f t="shared" si="4"/>
        <v>19.99</v>
      </c>
      <c r="N140" s="4" t="b">
        <f t="shared" si="5"/>
        <v>1</v>
      </c>
      <c r="O140" s="4" t="b">
        <f>COUNTIF(refunds!$B$2:$B$15,A140)&gt;0</f>
        <v>0</v>
      </c>
      <c r="P140" s="4">
        <f>_xlfn.XLOOKUP(A140,refunds!$B$2:$B$15,refunds!$D$2:$D$15,0,0)</f>
        <v>0</v>
      </c>
      <c r="Q140" s="4" t="str">
        <f>IF(OR(payments[[#This Row],[completed_at]]="",payments[[#This Row],[completed_at]]=0),"",TEXT(payments[[#This Row],[completed_at]],"yyyy-mm"))</f>
        <v>2026-05</v>
      </c>
    </row>
    <row r="141" spans="1:17">
      <c r="A141">
        <v>126</v>
      </c>
      <c r="B141">
        <v>369</v>
      </c>
      <c r="C141">
        <v>2</v>
      </c>
      <c r="D141" s="3">
        <v>46154.7775231482</v>
      </c>
      <c r="E141" s="3">
        <v>46154.7776388889</v>
      </c>
      <c r="F141" t="s">
        <v>25</v>
      </c>
      <c r="G141">
        <v>9.99</v>
      </c>
      <c r="H141">
        <v>250</v>
      </c>
      <c r="I141" s="4" t="str">
        <f>_xlfn.XLOOKUP(B141,users!A:A,users!C:C)</f>
        <v>US</v>
      </c>
      <c r="J141" s="4" t="str">
        <f>_xlfn.XLOOKUP(B141,users!A:A,users!D:D)</f>
        <v>tablet</v>
      </c>
      <c r="K141" s="4" t="str">
        <f>_xlfn.XLOOKUP(C141,coin_packages!A:A,coin_packages!B:B)</f>
        <v>Medium</v>
      </c>
      <c r="L141" s="4" t="str">
        <f t="array" ref="L141">INDEX(coin_packages!$B$2:$B$5,MATCH(C141,coin_packages!$A$2:$A$5,0))</f>
        <v>Medium</v>
      </c>
      <c r="M141" s="4">
        <f t="shared" si="4"/>
        <v>9.99</v>
      </c>
      <c r="N141" s="4" t="b">
        <f t="shared" si="5"/>
        <v>1</v>
      </c>
      <c r="O141" s="4" t="b">
        <f>COUNTIF(refunds!$B$2:$B$15,A141)&gt;0</f>
        <v>1</v>
      </c>
      <c r="P141" s="4">
        <f>_xlfn.XLOOKUP(A141,refunds!$B$2:$B$15,refunds!$D$2:$D$15,0,0)</f>
        <v>9.99</v>
      </c>
      <c r="Q141" s="4" t="str">
        <f>IF(OR(payments[[#This Row],[completed_at]]="",payments[[#This Row],[completed_at]]=0),"",TEXT(payments[[#This Row],[completed_at]],"yyyy-mm"))</f>
        <v>2026-05</v>
      </c>
    </row>
    <row r="142" spans="1:17">
      <c r="A142">
        <v>125</v>
      </c>
      <c r="B142">
        <v>369</v>
      </c>
      <c r="C142">
        <v>1</v>
      </c>
      <c r="D142" s="3">
        <v>46084.3082986111</v>
      </c>
      <c r="E142" s="3">
        <v>46084.3084143518</v>
      </c>
      <c r="F142" t="s">
        <v>25</v>
      </c>
      <c r="G142">
        <v>4.99</v>
      </c>
      <c r="H142">
        <v>100</v>
      </c>
      <c r="I142" s="4" t="str">
        <f>_xlfn.XLOOKUP(B142,users!A:A,users!C:C)</f>
        <v>US</v>
      </c>
      <c r="J142" s="4" t="str">
        <f>_xlfn.XLOOKUP(B142,users!A:A,users!D:D)</f>
        <v>tablet</v>
      </c>
      <c r="K142" s="4" t="str">
        <f>_xlfn.XLOOKUP(C142,coin_packages!A:A,coin_packages!B:B)</f>
        <v>Small</v>
      </c>
      <c r="L142" s="4" t="str">
        <f t="array" ref="L142">INDEX(coin_packages!$B$2:$B$5,MATCH(C142,coin_packages!$A$2:$A$5,0))</f>
        <v>Small</v>
      </c>
      <c r="M142" s="4">
        <f t="shared" si="4"/>
        <v>4.99</v>
      </c>
      <c r="N142" s="4" t="b">
        <f t="shared" si="5"/>
        <v>1</v>
      </c>
      <c r="O142" s="4" t="b">
        <f>COUNTIF(refunds!$B$2:$B$15,A142)&gt;0</f>
        <v>0</v>
      </c>
      <c r="P142" s="4">
        <f>_xlfn.XLOOKUP(A142,refunds!$B$2:$B$15,refunds!$D$2:$D$15,0,0)</f>
        <v>0</v>
      </c>
      <c r="Q142" s="4" t="str">
        <f>IF(OR(payments[[#This Row],[completed_at]]="",payments[[#This Row],[completed_at]]=0),"",TEXT(payments[[#This Row],[completed_at]],"yyyy-mm"))</f>
        <v>2026-03</v>
      </c>
    </row>
    <row r="143" spans="1:17">
      <c r="A143">
        <v>124</v>
      </c>
      <c r="B143">
        <v>369</v>
      </c>
      <c r="C143">
        <v>2</v>
      </c>
      <c r="D143" s="3">
        <v>46079.3000925926</v>
      </c>
      <c r="E143" s="3">
        <v>46079.3002083333</v>
      </c>
      <c r="F143" t="s">
        <v>25</v>
      </c>
      <c r="G143">
        <v>9.99</v>
      </c>
      <c r="H143">
        <v>250</v>
      </c>
      <c r="I143" s="4" t="str">
        <f>_xlfn.XLOOKUP(B143,users!A:A,users!C:C)</f>
        <v>US</v>
      </c>
      <c r="J143" s="4" t="str">
        <f>_xlfn.XLOOKUP(B143,users!A:A,users!D:D)</f>
        <v>tablet</v>
      </c>
      <c r="K143" s="4" t="str">
        <f>_xlfn.XLOOKUP(C143,coin_packages!A:A,coin_packages!B:B)</f>
        <v>Medium</v>
      </c>
      <c r="L143" s="4" t="str">
        <f t="array" ref="L143">INDEX(coin_packages!$B$2:$B$5,MATCH(C143,coin_packages!$A$2:$A$5,0))</f>
        <v>Medium</v>
      </c>
      <c r="M143" s="4">
        <f t="shared" si="4"/>
        <v>9.99</v>
      </c>
      <c r="N143" s="4" t="b">
        <f t="shared" si="5"/>
        <v>1</v>
      </c>
      <c r="O143" s="4" t="b">
        <f>COUNTIF(refunds!$B$2:$B$15,A143)&gt;0</f>
        <v>1</v>
      </c>
      <c r="P143" s="4">
        <f>_xlfn.XLOOKUP(A143,refunds!$B$2:$B$15,refunds!$D$2:$D$15,0,0)</f>
        <v>9.99</v>
      </c>
      <c r="Q143" s="4" t="str">
        <f>IF(OR(payments[[#This Row],[completed_at]]="",payments[[#This Row],[completed_at]]=0),"",TEXT(payments[[#This Row],[completed_at]],"yyyy-mm"))</f>
        <v>2026-02</v>
      </c>
    </row>
    <row r="144" spans="1:17">
      <c r="A144">
        <v>129</v>
      </c>
      <c r="B144">
        <v>371</v>
      </c>
      <c r="C144">
        <v>1</v>
      </c>
      <c r="D144" s="3">
        <v>46191.8076273148</v>
      </c>
      <c r="E144" s="3">
        <v>46191.8077430556</v>
      </c>
      <c r="F144" t="s">
        <v>25</v>
      </c>
      <c r="G144">
        <v>4.99</v>
      </c>
      <c r="H144">
        <v>100</v>
      </c>
      <c r="I144" s="4" t="str">
        <f>_xlfn.XLOOKUP(B144,users!A:A,users!C:C)</f>
        <v>US</v>
      </c>
      <c r="J144" s="4" t="str">
        <f>_xlfn.XLOOKUP(B144,users!A:A,users!D:D)</f>
        <v>tablet</v>
      </c>
      <c r="K144" s="4" t="str">
        <f>_xlfn.XLOOKUP(C144,coin_packages!A:A,coin_packages!B:B)</f>
        <v>Small</v>
      </c>
      <c r="L144" s="4" t="str">
        <f t="array" ref="L144">INDEX(coin_packages!$B$2:$B$5,MATCH(C144,coin_packages!$A$2:$A$5,0))</f>
        <v>Small</v>
      </c>
      <c r="M144" s="4">
        <f t="shared" si="4"/>
        <v>4.99</v>
      </c>
      <c r="N144" s="4" t="b">
        <f t="shared" si="5"/>
        <v>1</v>
      </c>
      <c r="O144" s="4" t="b">
        <f>COUNTIF(refunds!$B$2:$B$15,A144)&gt;0</f>
        <v>0</v>
      </c>
      <c r="P144" s="4">
        <f>_xlfn.XLOOKUP(A144,refunds!$B$2:$B$15,refunds!$D$2:$D$15,0,0)</f>
        <v>0</v>
      </c>
      <c r="Q144" s="4" t="str">
        <f>IF(OR(payments[[#This Row],[completed_at]]="",payments[[#This Row],[completed_at]]=0),"",TEXT(payments[[#This Row],[completed_at]],"yyyy-mm"))</f>
        <v>2026-06</v>
      </c>
    </row>
    <row r="145" spans="1:17">
      <c r="A145">
        <v>128</v>
      </c>
      <c r="B145">
        <v>371</v>
      </c>
      <c r="C145">
        <v>1</v>
      </c>
      <c r="D145" s="3">
        <v>46189.9849884259</v>
      </c>
      <c r="F145" t="s">
        <v>56</v>
      </c>
      <c r="G145">
        <v>4.99</v>
      </c>
      <c r="H145">
        <v>0</v>
      </c>
      <c r="I145" s="4" t="str">
        <f>_xlfn.XLOOKUP(B145,users!A:A,users!C:C)</f>
        <v>US</v>
      </c>
      <c r="J145" s="4" t="str">
        <f>_xlfn.XLOOKUP(B145,users!A:A,users!D:D)</f>
        <v>tablet</v>
      </c>
      <c r="K145" s="4" t="str">
        <f>_xlfn.XLOOKUP(C145,coin_packages!A:A,coin_packages!B:B)</f>
        <v>Small</v>
      </c>
      <c r="L145" s="4" t="str">
        <f t="array" ref="L145">INDEX(coin_packages!$B$2:$B$5,MATCH(C145,coin_packages!$A$2:$A$5,0))</f>
        <v>Small</v>
      </c>
      <c r="M145" s="4">
        <f t="shared" si="4"/>
        <v>0</v>
      </c>
      <c r="N145" s="4" t="b">
        <f t="shared" si="5"/>
        <v>0</v>
      </c>
      <c r="O145" s="4" t="b">
        <f>COUNTIF(refunds!$B$2:$B$15,A145)&gt;0</f>
        <v>0</v>
      </c>
      <c r="P145" s="4">
        <f>_xlfn.XLOOKUP(A145,refunds!$B$2:$B$15,refunds!$D$2:$D$15,0,0)</f>
        <v>0</v>
      </c>
      <c r="Q145" s="4" t="str">
        <f>IF(OR(payments[[#This Row],[completed_at]]="",payments[[#This Row],[completed_at]]=0),"",TEXT(payments[[#This Row],[completed_at]],"yyyy-mm"))</f>
        <v/>
      </c>
    </row>
    <row r="146" spans="1:17">
      <c r="A146">
        <v>130</v>
      </c>
      <c r="B146">
        <v>375</v>
      </c>
      <c r="C146">
        <v>1</v>
      </c>
      <c r="D146" s="3">
        <v>46150.9398842593</v>
      </c>
      <c r="E146" s="3">
        <v>46150.94</v>
      </c>
      <c r="F146" t="s">
        <v>25</v>
      </c>
      <c r="G146">
        <v>4.99</v>
      </c>
      <c r="H146">
        <v>100</v>
      </c>
      <c r="I146" s="4" t="str">
        <f>_xlfn.XLOOKUP(B146,users!A:A,users!C:C)</f>
        <v>GB</v>
      </c>
      <c r="J146" s="4" t="str">
        <f>_xlfn.XLOOKUP(B146,users!A:A,users!D:D)</f>
        <v>tablet</v>
      </c>
      <c r="K146" s="4" t="str">
        <f>_xlfn.XLOOKUP(C146,coin_packages!A:A,coin_packages!B:B)</f>
        <v>Small</v>
      </c>
      <c r="L146" s="4" t="str">
        <f t="array" ref="L146">INDEX(coin_packages!$B$2:$B$5,MATCH(C146,coin_packages!$A$2:$A$5,0))</f>
        <v>Small</v>
      </c>
      <c r="M146" s="4">
        <f t="shared" si="4"/>
        <v>4.99</v>
      </c>
      <c r="N146" s="4" t="b">
        <f t="shared" si="5"/>
        <v>0</v>
      </c>
      <c r="O146" s="4" t="b">
        <f>COUNTIF(refunds!$B$2:$B$15,A146)&gt;0</f>
        <v>0</v>
      </c>
      <c r="P146" s="4">
        <f>_xlfn.XLOOKUP(A146,refunds!$B$2:$B$15,refunds!$D$2:$D$15,0,0)</f>
        <v>0</v>
      </c>
      <c r="Q146" s="4" t="str">
        <f>IF(OR(payments[[#This Row],[completed_at]]="",payments[[#This Row],[completed_at]]=0),"",TEXT(payments[[#This Row],[completed_at]],"yyyy-mm"))</f>
        <v>2026-05</v>
      </c>
    </row>
    <row r="147" spans="1:17">
      <c r="A147">
        <v>131</v>
      </c>
      <c r="B147">
        <v>380</v>
      </c>
      <c r="C147">
        <v>3</v>
      </c>
      <c r="D147" s="3">
        <v>46203.3266666667</v>
      </c>
      <c r="F147" t="s">
        <v>56</v>
      </c>
      <c r="G147">
        <v>15.99</v>
      </c>
      <c r="H147">
        <v>0</v>
      </c>
      <c r="I147" s="4" t="str">
        <f>_xlfn.XLOOKUP(B147,users!A:A,users!C:C)</f>
        <v>CA</v>
      </c>
      <c r="J147" s="4" t="str">
        <f>_xlfn.XLOOKUP(B147,users!A:A,users!D:D)</f>
        <v>tablet</v>
      </c>
      <c r="K147" s="4" t="str">
        <f>_xlfn.XLOOKUP(C147,coin_packages!A:A,coin_packages!B:B)</f>
        <v>Large</v>
      </c>
      <c r="L147" s="4" t="str">
        <f t="array" ref="L147">INDEX(coin_packages!$B$2:$B$5,MATCH(C147,coin_packages!$A$2:$A$5,0))</f>
        <v>Large</v>
      </c>
      <c r="M147" s="4">
        <f t="shared" si="4"/>
        <v>0</v>
      </c>
      <c r="N147" s="4" t="b">
        <f t="shared" si="5"/>
        <v>0</v>
      </c>
      <c r="O147" s="4" t="b">
        <f>COUNTIF(refunds!$B$2:$B$15,A147)&gt;0</f>
        <v>0</v>
      </c>
      <c r="P147" s="4">
        <f>_xlfn.XLOOKUP(A147,refunds!$B$2:$B$15,refunds!$D$2:$D$15,0,0)</f>
        <v>0</v>
      </c>
      <c r="Q147" s="4" t="str">
        <f>IF(OR(payments[[#This Row],[completed_at]]="",payments[[#This Row],[completed_at]]=0),"",TEXT(payments[[#This Row],[completed_at]],"yyyy-mm"))</f>
        <v/>
      </c>
    </row>
    <row r="148" spans="1:17">
      <c r="A148">
        <v>132</v>
      </c>
      <c r="B148">
        <v>381</v>
      </c>
      <c r="C148">
        <v>1</v>
      </c>
      <c r="D148" s="3">
        <v>46065.0667708333</v>
      </c>
      <c r="E148" s="3">
        <v>46065.0668865741</v>
      </c>
      <c r="F148" t="s">
        <v>25</v>
      </c>
      <c r="G148">
        <v>4.99</v>
      </c>
      <c r="H148">
        <v>100</v>
      </c>
      <c r="I148" s="4" t="str">
        <f>_xlfn.XLOOKUP(B148,users!A:A,users!C:C)</f>
        <v>BR</v>
      </c>
      <c r="J148" s="4" t="str">
        <f>_xlfn.XLOOKUP(B148,users!A:A,users!D:D)</f>
        <v>mobile</v>
      </c>
      <c r="K148" s="4" t="str">
        <f>_xlfn.XLOOKUP(C148,coin_packages!A:A,coin_packages!B:B)</f>
        <v>Small</v>
      </c>
      <c r="L148" s="4" t="str">
        <f t="array" ref="L148">INDEX(coin_packages!$B$2:$B$5,MATCH(C148,coin_packages!$A$2:$A$5,0))</f>
        <v>Small</v>
      </c>
      <c r="M148" s="4">
        <f t="shared" si="4"/>
        <v>4.99</v>
      </c>
      <c r="N148" s="4" t="b">
        <f t="shared" si="5"/>
        <v>0</v>
      </c>
      <c r="O148" s="4" t="b">
        <f>COUNTIF(refunds!$B$2:$B$15,A148)&gt;0</f>
        <v>0</v>
      </c>
      <c r="P148" s="4">
        <f>_xlfn.XLOOKUP(A148,refunds!$B$2:$B$15,refunds!$D$2:$D$15,0,0)</f>
        <v>0</v>
      </c>
      <c r="Q148" s="4" t="str">
        <f>IF(OR(payments[[#This Row],[completed_at]]="",payments[[#This Row],[completed_at]]=0),"",TEXT(payments[[#This Row],[completed_at]],"yyyy-mm"))</f>
        <v>2026-02</v>
      </c>
    </row>
    <row r="149" spans="1:17">
      <c r="A149">
        <v>133</v>
      </c>
      <c r="B149">
        <v>382</v>
      </c>
      <c r="C149">
        <v>3</v>
      </c>
      <c r="D149" s="3">
        <v>46146.9026967593</v>
      </c>
      <c r="E149" s="3">
        <v>46146.9028125</v>
      </c>
      <c r="F149" t="s">
        <v>25</v>
      </c>
      <c r="G149">
        <v>19.99</v>
      </c>
      <c r="H149">
        <v>600</v>
      </c>
      <c r="I149" s="4" t="str">
        <f>_xlfn.XLOOKUP(B149,users!A:A,users!C:C)</f>
        <v>CA</v>
      </c>
      <c r="J149" s="4" t="str">
        <f>_xlfn.XLOOKUP(B149,users!A:A,users!D:D)</f>
        <v>mobile</v>
      </c>
      <c r="K149" s="4" t="str">
        <f>_xlfn.XLOOKUP(C149,coin_packages!A:A,coin_packages!B:B)</f>
        <v>Large</v>
      </c>
      <c r="L149" s="4" t="str">
        <f t="array" ref="L149">INDEX(coin_packages!$B$2:$B$5,MATCH(C149,coin_packages!$A$2:$A$5,0))</f>
        <v>Large</v>
      </c>
      <c r="M149" s="4">
        <f t="shared" si="4"/>
        <v>19.99</v>
      </c>
      <c r="N149" s="4" t="b">
        <f t="shared" si="5"/>
        <v>0</v>
      </c>
      <c r="O149" s="4" t="b">
        <f>COUNTIF(refunds!$B$2:$B$15,A149)&gt;0</f>
        <v>0</v>
      </c>
      <c r="P149" s="4">
        <f>_xlfn.XLOOKUP(A149,refunds!$B$2:$B$15,refunds!$D$2:$D$15,0,0)</f>
        <v>0</v>
      </c>
      <c r="Q149" s="4" t="str">
        <f>IF(OR(payments[[#This Row],[completed_at]]="",payments[[#This Row],[completed_at]]=0),"",TEXT(payments[[#This Row],[completed_at]],"yyyy-mm"))</f>
        <v>2026-05</v>
      </c>
    </row>
    <row r="150" spans="1:17">
      <c r="A150">
        <v>135</v>
      </c>
      <c r="B150">
        <v>384</v>
      </c>
      <c r="C150">
        <v>2</v>
      </c>
      <c r="D150" s="3">
        <v>46052.6568518519</v>
      </c>
      <c r="E150" s="3">
        <v>46052.6569675926</v>
      </c>
      <c r="F150" t="s">
        <v>25</v>
      </c>
      <c r="G150">
        <v>9.99</v>
      </c>
      <c r="H150">
        <v>250</v>
      </c>
      <c r="I150" s="4" t="str">
        <f>_xlfn.XLOOKUP(B150,users!A:A,users!C:C)</f>
        <v>US</v>
      </c>
      <c r="J150" s="4" t="str">
        <f>_xlfn.XLOOKUP(B150,users!A:A,users!D:D)</f>
        <v>desktop</v>
      </c>
      <c r="K150" s="4" t="str">
        <f>_xlfn.XLOOKUP(C150,coin_packages!A:A,coin_packages!B:B)</f>
        <v>Medium</v>
      </c>
      <c r="L150" s="4" t="str">
        <f t="array" ref="L150">INDEX(coin_packages!$B$2:$B$5,MATCH(C150,coin_packages!$A$2:$A$5,0))</f>
        <v>Medium</v>
      </c>
      <c r="M150" s="4">
        <f t="shared" si="4"/>
        <v>9.99</v>
      </c>
      <c r="N150" s="4" t="b">
        <f t="shared" si="5"/>
        <v>0</v>
      </c>
      <c r="O150" s="4" t="b">
        <f>COUNTIF(refunds!$B$2:$B$15,A150)&gt;0</f>
        <v>0</v>
      </c>
      <c r="P150" s="4">
        <f>_xlfn.XLOOKUP(A150,refunds!$B$2:$B$15,refunds!$D$2:$D$15,0,0)</f>
        <v>0</v>
      </c>
      <c r="Q150" s="4" t="str">
        <f>IF(OR(payments[[#This Row],[completed_at]]="",payments[[#This Row],[completed_at]]=0),"",TEXT(payments[[#This Row],[completed_at]],"yyyy-mm"))</f>
        <v>2026-01</v>
      </c>
    </row>
    <row r="151" spans="1:17">
      <c r="A151">
        <v>134</v>
      </c>
      <c r="B151">
        <v>384</v>
      </c>
      <c r="C151">
        <v>3</v>
      </c>
      <c r="D151" s="3">
        <v>46042.6902546296</v>
      </c>
      <c r="E151" s="3">
        <v>46042.6903703704</v>
      </c>
      <c r="F151" t="s">
        <v>25</v>
      </c>
      <c r="G151">
        <v>19.99</v>
      </c>
      <c r="H151">
        <v>600</v>
      </c>
      <c r="I151" s="4" t="str">
        <f>_xlfn.XLOOKUP(B151,users!A:A,users!C:C)</f>
        <v>US</v>
      </c>
      <c r="J151" s="4" t="str">
        <f>_xlfn.XLOOKUP(B151,users!A:A,users!D:D)</f>
        <v>desktop</v>
      </c>
      <c r="K151" s="4" t="str">
        <f>_xlfn.XLOOKUP(C151,coin_packages!A:A,coin_packages!B:B)</f>
        <v>Large</v>
      </c>
      <c r="L151" s="4" t="str">
        <f t="array" ref="L151">INDEX(coin_packages!$B$2:$B$5,MATCH(C151,coin_packages!$A$2:$A$5,0))</f>
        <v>Large</v>
      </c>
      <c r="M151" s="4">
        <f t="shared" si="4"/>
        <v>19.99</v>
      </c>
      <c r="N151" s="4" t="b">
        <f t="shared" si="5"/>
        <v>0</v>
      </c>
      <c r="O151" s="4" t="b">
        <f>COUNTIF(refunds!$B$2:$B$15,A151)&gt;0</f>
        <v>1</v>
      </c>
      <c r="P151" s="4">
        <f>_xlfn.XLOOKUP(A151,refunds!$B$2:$B$15,refunds!$D$2:$D$15,0,0)</f>
        <v>19.99</v>
      </c>
      <c r="Q151" s="4" t="str">
        <f>IF(OR(payments[[#This Row],[completed_at]]="",payments[[#This Row],[completed_at]]=0),"",TEXT(payments[[#This Row],[completed_at]],"yyyy-mm"))</f>
        <v>2026-01</v>
      </c>
    </row>
    <row r="152" spans="1:17">
      <c r="A152">
        <v>136</v>
      </c>
      <c r="B152">
        <v>388</v>
      </c>
      <c r="C152">
        <v>1</v>
      </c>
      <c r="D152" s="3">
        <v>46135.9839930556</v>
      </c>
      <c r="E152" s="3">
        <v>46135.9841087963</v>
      </c>
      <c r="F152" t="s">
        <v>25</v>
      </c>
      <c r="G152">
        <v>4.99</v>
      </c>
      <c r="H152">
        <v>100</v>
      </c>
      <c r="I152" s="4" t="str">
        <f>_xlfn.XLOOKUP(B152,users!A:A,users!C:C)</f>
        <v>CA</v>
      </c>
      <c r="J152" s="4" t="str">
        <f>_xlfn.XLOOKUP(B152,users!A:A,users!D:D)</f>
        <v>desktop</v>
      </c>
      <c r="K152" s="4" t="str">
        <f>_xlfn.XLOOKUP(C152,coin_packages!A:A,coin_packages!B:B)</f>
        <v>Small</v>
      </c>
      <c r="L152" s="4" t="str">
        <f t="array" ref="L152">INDEX(coin_packages!$B$2:$B$5,MATCH(C152,coin_packages!$A$2:$A$5,0))</f>
        <v>Small</v>
      </c>
      <c r="M152" s="4">
        <f t="shared" si="4"/>
        <v>4.99</v>
      </c>
      <c r="N152" s="4" t="b">
        <f t="shared" si="5"/>
        <v>0</v>
      </c>
      <c r="O152" s="4" t="b">
        <f>COUNTIF(refunds!$B$2:$B$15,A152)&gt;0</f>
        <v>0</v>
      </c>
      <c r="P152" s="4">
        <f>_xlfn.XLOOKUP(A152,refunds!$B$2:$B$15,refunds!$D$2:$D$15,0,0)</f>
        <v>0</v>
      </c>
      <c r="Q152" s="4" t="str">
        <f>IF(OR(payments[[#This Row],[completed_at]]="",payments[[#This Row],[completed_at]]=0),"",TEXT(payments[[#This Row],[completed_at]],"yyyy-mm"))</f>
        <v>2026-04</v>
      </c>
    </row>
    <row r="153" spans="1:17">
      <c r="A153">
        <v>137</v>
      </c>
      <c r="B153">
        <v>389</v>
      </c>
      <c r="C153">
        <v>1</v>
      </c>
      <c r="D153" s="3">
        <v>46125.1110185185</v>
      </c>
      <c r="E153" s="3">
        <v>46125.1111342593</v>
      </c>
      <c r="F153" t="s">
        <v>25</v>
      </c>
      <c r="G153">
        <v>4.99</v>
      </c>
      <c r="H153">
        <v>100</v>
      </c>
      <c r="I153" s="4" t="str">
        <f>_xlfn.XLOOKUP(B153,users!A:A,users!C:C)</f>
        <v>US</v>
      </c>
      <c r="J153" s="4" t="str">
        <f>_xlfn.XLOOKUP(B153,users!A:A,users!D:D)</f>
        <v>mobile</v>
      </c>
      <c r="K153" s="4" t="str">
        <f>_xlfn.XLOOKUP(C153,coin_packages!A:A,coin_packages!B:B)</f>
        <v>Small</v>
      </c>
      <c r="L153" s="4" t="str">
        <f t="array" ref="L153">INDEX(coin_packages!$B$2:$B$5,MATCH(C153,coin_packages!$A$2:$A$5,0))</f>
        <v>Small</v>
      </c>
      <c r="M153" s="4">
        <f t="shared" si="4"/>
        <v>4.99</v>
      </c>
      <c r="N153" s="4" t="b">
        <f t="shared" si="5"/>
        <v>1</v>
      </c>
      <c r="O153" s="4" t="b">
        <f>COUNTIF(refunds!$B$2:$B$15,A153)&gt;0</f>
        <v>0</v>
      </c>
      <c r="P153" s="4">
        <f>_xlfn.XLOOKUP(A153,refunds!$B$2:$B$15,refunds!$D$2:$D$15,0,0)</f>
        <v>0</v>
      </c>
      <c r="Q153" s="4" t="str">
        <f>IF(OR(payments[[#This Row],[completed_at]]="",payments[[#This Row],[completed_at]]=0),"",TEXT(payments[[#This Row],[completed_at]],"yyyy-mm"))</f>
        <v>2026-04</v>
      </c>
    </row>
    <row r="154" spans="1:17">
      <c r="A154">
        <v>140</v>
      </c>
      <c r="B154">
        <v>390</v>
      </c>
      <c r="C154">
        <v>3</v>
      </c>
      <c r="D154" s="3">
        <v>46201.8749884259</v>
      </c>
      <c r="E154" s="3">
        <v>46201.8751041667</v>
      </c>
      <c r="F154" t="s">
        <v>25</v>
      </c>
      <c r="G154">
        <v>19.99</v>
      </c>
      <c r="H154">
        <v>600</v>
      </c>
      <c r="I154" s="4" t="str">
        <f>_xlfn.XLOOKUP(B154,users!A:A,users!C:C)</f>
        <v>UA</v>
      </c>
      <c r="J154" s="4" t="str">
        <f>_xlfn.XLOOKUP(B154,users!A:A,users!D:D)</f>
        <v>desktop</v>
      </c>
      <c r="K154" s="4" t="str">
        <f>_xlfn.XLOOKUP(C154,coin_packages!A:A,coin_packages!B:B)</f>
        <v>Large</v>
      </c>
      <c r="L154" s="4" t="str">
        <f t="array" ref="L154">INDEX(coin_packages!$B$2:$B$5,MATCH(C154,coin_packages!$A$2:$A$5,0))</f>
        <v>Large</v>
      </c>
      <c r="M154" s="4">
        <f t="shared" si="4"/>
        <v>19.99</v>
      </c>
      <c r="N154" s="4" t="b">
        <f t="shared" si="5"/>
        <v>0</v>
      </c>
      <c r="O154" s="4" t="b">
        <f>COUNTIF(refunds!$B$2:$B$15,A154)&gt;0</f>
        <v>0</v>
      </c>
      <c r="P154" s="4">
        <f>_xlfn.XLOOKUP(A154,refunds!$B$2:$B$15,refunds!$D$2:$D$15,0,0)</f>
        <v>0</v>
      </c>
      <c r="Q154" s="4" t="str">
        <f>IF(OR(payments[[#This Row],[completed_at]]="",payments[[#This Row],[completed_at]]=0),"",TEXT(payments[[#This Row],[completed_at]],"yyyy-mm"))</f>
        <v>2026-06</v>
      </c>
    </row>
    <row r="155" spans="1:17">
      <c r="A155">
        <v>139</v>
      </c>
      <c r="B155">
        <v>390</v>
      </c>
      <c r="C155">
        <v>1</v>
      </c>
      <c r="D155" s="3">
        <v>46201.4612962963</v>
      </c>
      <c r="E155" s="3">
        <v>46201.461412037</v>
      </c>
      <c r="F155" t="s">
        <v>25</v>
      </c>
      <c r="G155">
        <v>4.99</v>
      </c>
      <c r="H155">
        <v>100</v>
      </c>
      <c r="I155" s="4" t="str">
        <f>_xlfn.XLOOKUP(B155,users!A:A,users!C:C)</f>
        <v>UA</v>
      </c>
      <c r="J155" s="4" t="str">
        <f>_xlfn.XLOOKUP(B155,users!A:A,users!D:D)</f>
        <v>desktop</v>
      </c>
      <c r="K155" s="4" t="str">
        <f>_xlfn.XLOOKUP(C155,coin_packages!A:A,coin_packages!B:B)</f>
        <v>Small</v>
      </c>
      <c r="L155" s="4" t="str">
        <f t="array" ref="L155">INDEX(coin_packages!$B$2:$B$5,MATCH(C155,coin_packages!$A$2:$A$5,0))</f>
        <v>Small</v>
      </c>
      <c r="M155" s="4">
        <f t="shared" si="4"/>
        <v>4.99</v>
      </c>
      <c r="N155" s="4" t="b">
        <f t="shared" si="5"/>
        <v>0</v>
      </c>
      <c r="O155" s="4" t="b">
        <f>COUNTIF(refunds!$B$2:$B$15,A155)&gt;0</f>
        <v>1</v>
      </c>
      <c r="P155" s="4">
        <f>_xlfn.XLOOKUP(A155,refunds!$B$2:$B$15,refunds!$D$2:$D$15,0,0)</f>
        <v>4.99</v>
      </c>
      <c r="Q155" s="4" t="str">
        <f>IF(OR(payments[[#This Row],[completed_at]]="",payments[[#This Row],[completed_at]]=0),"",TEXT(payments[[#This Row],[completed_at]],"yyyy-mm"))</f>
        <v>2026-06</v>
      </c>
    </row>
    <row r="156" spans="1:17">
      <c r="A156">
        <v>138</v>
      </c>
      <c r="B156">
        <v>390</v>
      </c>
      <c r="C156">
        <v>1</v>
      </c>
      <c r="D156" s="3">
        <v>46167.9349074074</v>
      </c>
      <c r="E156" s="3">
        <v>46167.9350231482</v>
      </c>
      <c r="F156" t="s">
        <v>25</v>
      </c>
      <c r="G156">
        <v>4.99</v>
      </c>
      <c r="H156">
        <v>100</v>
      </c>
      <c r="I156" s="4" t="str">
        <f>_xlfn.XLOOKUP(B156,users!A:A,users!C:C)</f>
        <v>UA</v>
      </c>
      <c r="J156" s="4" t="str">
        <f>_xlfn.XLOOKUP(B156,users!A:A,users!D:D)</f>
        <v>desktop</v>
      </c>
      <c r="K156" s="4" t="str">
        <f>_xlfn.XLOOKUP(C156,coin_packages!A:A,coin_packages!B:B)</f>
        <v>Small</v>
      </c>
      <c r="L156" s="4" t="str">
        <f t="array" ref="L156">INDEX(coin_packages!$B$2:$B$5,MATCH(C156,coin_packages!$A$2:$A$5,0))</f>
        <v>Small</v>
      </c>
      <c r="M156" s="4">
        <f t="shared" si="4"/>
        <v>4.99</v>
      </c>
      <c r="N156" s="4" t="b">
        <f t="shared" si="5"/>
        <v>0</v>
      </c>
      <c r="O156" s="4" t="b">
        <f>COUNTIF(refunds!$B$2:$B$15,A156)&gt;0</f>
        <v>0</v>
      </c>
      <c r="P156" s="4">
        <f>_xlfn.XLOOKUP(A156,refunds!$B$2:$B$15,refunds!$D$2:$D$15,0,0)</f>
        <v>0</v>
      </c>
      <c r="Q156" s="4" t="str">
        <f>IF(OR(payments[[#This Row],[completed_at]]="",payments[[#This Row],[completed_at]]=0),"",TEXT(payments[[#This Row],[completed_at]],"yyyy-mm"))</f>
        <v>2026-05</v>
      </c>
    </row>
    <row r="157" spans="1:17">
      <c r="A157">
        <v>142</v>
      </c>
      <c r="B157">
        <v>392</v>
      </c>
      <c r="C157">
        <v>3</v>
      </c>
      <c r="D157" s="3">
        <v>46136.3506597222</v>
      </c>
      <c r="E157" s="3">
        <v>46136.350775463</v>
      </c>
      <c r="F157" t="s">
        <v>25</v>
      </c>
      <c r="G157">
        <v>19.99</v>
      </c>
      <c r="H157">
        <v>600</v>
      </c>
      <c r="I157" s="4" t="str">
        <f>_xlfn.XLOOKUP(B157,users!A:A,users!C:C)</f>
        <v>CA</v>
      </c>
      <c r="J157" s="4" t="str">
        <f>_xlfn.XLOOKUP(B157,users!A:A,users!D:D)</f>
        <v>desktop</v>
      </c>
      <c r="K157" s="4" t="str">
        <f>_xlfn.XLOOKUP(C157,coin_packages!A:A,coin_packages!B:B)</f>
        <v>Large</v>
      </c>
      <c r="L157" s="4" t="str">
        <f t="array" ref="L157">INDEX(coin_packages!$B$2:$B$5,MATCH(C157,coin_packages!$A$2:$A$5,0))</f>
        <v>Large</v>
      </c>
      <c r="M157" s="4">
        <f t="shared" si="4"/>
        <v>19.99</v>
      </c>
      <c r="N157" s="4" t="b">
        <f t="shared" si="5"/>
        <v>0</v>
      </c>
      <c r="O157" s="4" t="b">
        <f>COUNTIF(refunds!$B$2:$B$15,A157)&gt;0</f>
        <v>0</v>
      </c>
      <c r="P157" s="4">
        <f>_xlfn.XLOOKUP(A157,refunds!$B$2:$B$15,refunds!$D$2:$D$15,0,0)</f>
        <v>0</v>
      </c>
      <c r="Q157" s="4" t="str">
        <f>IF(OR(payments[[#This Row],[completed_at]]="",payments[[#This Row],[completed_at]]=0),"",TEXT(payments[[#This Row],[completed_at]],"yyyy-mm"))</f>
        <v>2026-04</v>
      </c>
    </row>
    <row r="158" spans="1:17">
      <c r="A158">
        <v>141</v>
      </c>
      <c r="B158">
        <v>392</v>
      </c>
      <c r="C158">
        <v>1</v>
      </c>
      <c r="D158" s="3">
        <v>46107.2333796296</v>
      </c>
      <c r="E158" s="3">
        <v>46107.2334953704</v>
      </c>
      <c r="F158" t="s">
        <v>25</v>
      </c>
      <c r="G158">
        <v>4.99</v>
      </c>
      <c r="H158">
        <v>100</v>
      </c>
      <c r="I158" s="4" t="str">
        <f>_xlfn.XLOOKUP(B158,users!A:A,users!C:C)</f>
        <v>CA</v>
      </c>
      <c r="J158" s="4" t="str">
        <f>_xlfn.XLOOKUP(B158,users!A:A,users!D:D)</f>
        <v>desktop</v>
      </c>
      <c r="K158" s="4" t="str">
        <f>_xlfn.XLOOKUP(C158,coin_packages!A:A,coin_packages!B:B)</f>
        <v>Small</v>
      </c>
      <c r="L158" s="4" t="str">
        <f t="array" ref="L158">INDEX(coin_packages!$B$2:$B$5,MATCH(C158,coin_packages!$A$2:$A$5,0))</f>
        <v>Small</v>
      </c>
      <c r="M158" s="4">
        <f t="shared" si="4"/>
        <v>4.99</v>
      </c>
      <c r="N158" s="4" t="b">
        <f t="shared" si="5"/>
        <v>0</v>
      </c>
      <c r="O158" s="4" t="b">
        <f>COUNTIF(refunds!$B$2:$B$15,A158)&gt;0</f>
        <v>0</v>
      </c>
      <c r="P158" s="4">
        <f>_xlfn.XLOOKUP(A158,refunds!$B$2:$B$15,refunds!$D$2:$D$15,0,0)</f>
        <v>0</v>
      </c>
      <c r="Q158" s="4" t="str">
        <f>IF(OR(payments[[#This Row],[completed_at]]="",payments[[#This Row],[completed_at]]=0),"",TEXT(payments[[#This Row],[completed_at]],"yyyy-mm"))</f>
        <v>2026-03</v>
      </c>
    </row>
    <row r="159" spans="1:17">
      <c r="A159">
        <v>143</v>
      </c>
      <c r="B159">
        <v>395</v>
      </c>
      <c r="C159">
        <v>2</v>
      </c>
      <c r="D159" s="3">
        <v>46191.1075578704</v>
      </c>
      <c r="E159" s="3">
        <v>46191.1076736111</v>
      </c>
      <c r="F159" t="s">
        <v>25</v>
      </c>
      <c r="G159">
        <v>7.99</v>
      </c>
      <c r="H159">
        <v>250</v>
      </c>
      <c r="I159" s="4" t="str">
        <f>_xlfn.XLOOKUP(B159,users!A:A,users!C:C)</f>
        <v>DE</v>
      </c>
      <c r="J159" s="4" t="str">
        <f>_xlfn.XLOOKUP(B159,users!A:A,users!D:D)</f>
        <v>desktop</v>
      </c>
      <c r="K159" s="4" t="str">
        <f>_xlfn.XLOOKUP(C159,coin_packages!A:A,coin_packages!B:B)</f>
        <v>Medium</v>
      </c>
      <c r="L159" s="4" t="str">
        <f t="array" ref="L159">INDEX(coin_packages!$B$2:$B$5,MATCH(C159,coin_packages!$A$2:$A$5,0))</f>
        <v>Medium</v>
      </c>
      <c r="M159" s="4">
        <f t="shared" si="4"/>
        <v>7.99</v>
      </c>
      <c r="N159" s="4" t="b">
        <f t="shared" si="5"/>
        <v>0</v>
      </c>
      <c r="O159" s="4" t="b">
        <f>COUNTIF(refunds!$B$2:$B$15,A159)&gt;0</f>
        <v>0</v>
      </c>
      <c r="P159" s="4">
        <f>_xlfn.XLOOKUP(A159,refunds!$B$2:$B$15,refunds!$D$2:$D$15,0,0)</f>
        <v>0</v>
      </c>
      <c r="Q159" s="4" t="str">
        <f>IF(OR(payments[[#This Row],[completed_at]]="",payments[[#This Row],[completed_at]]=0),"",TEXT(payments[[#This Row],[completed_at]],"yyyy-mm"))</f>
        <v>2026-06</v>
      </c>
    </row>
    <row r="160" spans="1:17">
      <c r="A160">
        <v>145</v>
      </c>
      <c r="B160">
        <v>397</v>
      </c>
      <c r="C160">
        <v>3</v>
      </c>
      <c r="D160" s="3">
        <v>46200.2027083333</v>
      </c>
      <c r="E160" s="3">
        <v>46200.2028240741</v>
      </c>
      <c r="F160" t="s">
        <v>25</v>
      </c>
      <c r="G160">
        <v>19.99</v>
      </c>
      <c r="H160">
        <v>600</v>
      </c>
      <c r="I160" s="4" t="str">
        <f>_xlfn.XLOOKUP(B160,users!A:A,users!C:C)</f>
        <v>US</v>
      </c>
      <c r="J160" s="4" t="str">
        <f>_xlfn.XLOOKUP(B160,users!A:A,users!D:D)</f>
        <v>desktop</v>
      </c>
      <c r="K160" s="4" t="str">
        <f>_xlfn.XLOOKUP(C160,coin_packages!A:A,coin_packages!B:B)</f>
        <v>Large</v>
      </c>
      <c r="L160" s="4" t="str">
        <f t="array" ref="L160">INDEX(coin_packages!$B$2:$B$5,MATCH(C160,coin_packages!$A$2:$A$5,0))</f>
        <v>Large</v>
      </c>
      <c r="M160" s="4">
        <f t="shared" si="4"/>
        <v>19.99</v>
      </c>
      <c r="N160" s="4" t="b">
        <f t="shared" si="5"/>
        <v>0</v>
      </c>
      <c r="O160" s="4" t="b">
        <f>COUNTIF(refunds!$B$2:$B$15,A160)&gt;0</f>
        <v>0</v>
      </c>
      <c r="P160" s="4">
        <f>_xlfn.XLOOKUP(A160,refunds!$B$2:$B$15,refunds!$D$2:$D$15,0,0)</f>
        <v>0</v>
      </c>
      <c r="Q160" s="4" t="str">
        <f>IF(OR(payments[[#This Row],[completed_at]]="",payments[[#This Row],[completed_at]]=0),"",TEXT(payments[[#This Row],[completed_at]],"yyyy-mm"))</f>
        <v>2026-06</v>
      </c>
    </row>
    <row r="161" spans="1:17">
      <c r="A161">
        <v>144</v>
      </c>
      <c r="B161">
        <v>397</v>
      </c>
      <c r="C161">
        <v>1</v>
      </c>
      <c r="D161" s="3">
        <v>46080.0153935185</v>
      </c>
      <c r="E161" s="3">
        <v>46080.0155092593</v>
      </c>
      <c r="F161" t="s">
        <v>25</v>
      </c>
      <c r="G161">
        <v>4.99</v>
      </c>
      <c r="H161">
        <v>100</v>
      </c>
      <c r="I161" s="4" t="str">
        <f>_xlfn.XLOOKUP(B161,users!A:A,users!C:C)</f>
        <v>US</v>
      </c>
      <c r="J161" s="4" t="str">
        <f>_xlfn.XLOOKUP(B161,users!A:A,users!D:D)</f>
        <v>desktop</v>
      </c>
      <c r="K161" s="4" t="str">
        <f>_xlfn.XLOOKUP(C161,coin_packages!A:A,coin_packages!B:B)</f>
        <v>Small</v>
      </c>
      <c r="L161" s="4" t="str">
        <f t="array" ref="L161">INDEX(coin_packages!$B$2:$B$5,MATCH(C161,coin_packages!$A$2:$A$5,0))</f>
        <v>Small</v>
      </c>
      <c r="M161" s="4">
        <f t="shared" si="4"/>
        <v>4.99</v>
      </c>
      <c r="N161" s="4" t="b">
        <f t="shared" si="5"/>
        <v>0</v>
      </c>
      <c r="O161" s="4" t="b">
        <f>COUNTIF(refunds!$B$2:$B$15,A161)&gt;0</f>
        <v>0</v>
      </c>
      <c r="P161" s="4">
        <f>_xlfn.XLOOKUP(A161,refunds!$B$2:$B$15,refunds!$D$2:$D$15,0,0)</f>
        <v>0</v>
      </c>
      <c r="Q161" s="4" t="str">
        <f>IF(OR(payments[[#This Row],[completed_at]]="",payments[[#This Row],[completed_at]]=0),"",TEXT(payments[[#This Row],[completed_at]],"yyyy-mm"))</f>
        <v>2026-02</v>
      </c>
    </row>
    <row r="162" spans="1:17">
      <c r="A162">
        <v>146</v>
      </c>
      <c r="B162">
        <v>401</v>
      </c>
      <c r="C162">
        <v>1</v>
      </c>
      <c r="D162" s="3">
        <v>46201.2574537037</v>
      </c>
      <c r="E162" s="3">
        <v>46201.2575694444</v>
      </c>
      <c r="F162" t="s">
        <v>25</v>
      </c>
      <c r="G162">
        <v>4.99</v>
      </c>
      <c r="H162">
        <v>100</v>
      </c>
      <c r="I162" s="4" t="str">
        <f>_xlfn.XLOOKUP(B162,users!A:A,users!C:C)</f>
        <v>CA</v>
      </c>
      <c r="J162" s="4" t="str">
        <f>_xlfn.XLOOKUP(B162,users!A:A,users!D:D)</f>
        <v>mobile</v>
      </c>
      <c r="K162" s="4" t="str">
        <f>_xlfn.XLOOKUP(C162,coin_packages!A:A,coin_packages!B:B)</f>
        <v>Small</v>
      </c>
      <c r="L162" s="4" t="str">
        <f t="array" ref="L162">INDEX(coin_packages!$B$2:$B$5,MATCH(C162,coin_packages!$A$2:$A$5,0))</f>
        <v>Small</v>
      </c>
      <c r="M162" s="4">
        <f t="shared" si="4"/>
        <v>4.99</v>
      </c>
      <c r="N162" s="4" t="b">
        <f t="shared" si="5"/>
        <v>0</v>
      </c>
      <c r="O162" s="4" t="b">
        <f>COUNTIF(refunds!$B$2:$B$15,A162)&gt;0</f>
        <v>0</v>
      </c>
      <c r="P162" s="4">
        <f>_xlfn.XLOOKUP(A162,refunds!$B$2:$B$15,refunds!$D$2:$D$15,0,0)</f>
        <v>0</v>
      </c>
      <c r="Q162" s="4" t="str">
        <f>IF(OR(payments[[#This Row],[completed_at]]="",payments[[#This Row],[completed_at]]=0),"",TEXT(payments[[#This Row],[completed_at]],"yyyy-mm"))</f>
        <v>2026-06</v>
      </c>
    </row>
    <row r="163" spans="1:17">
      <c r="A163">
        <v>147</v>
      </c>
      <c r="B163">
        <v>404</v>
      </c>
      <c r="C163">
        <v>1</v>
      </c>
      <c r="D163" s="3">
        <v>46198.1467592593</v>
      </c>
      <c r="E163" s="3">
        <v>46198.146875</v>
      </c>
      <c r="F163" t="s">
        <v>25</v>
      </c>
      <c r="G163">
        <v>4.99</v>
      </c>
      <c r="H163">
        <v>100</v>
      </c>
      <c r="I163" s="4" t="str">
        <f>_xlfn.XLOOKUP(B163,users!A:A,users!C:C)</f>
        <v>CA</v>
      </c>
      <c r="J163" s="4" t="str">
        <f>_xlfn.XLOOKUP(B163,users!A:A,users!D:D)</f>
        <v>desktop</v>
      </c>
      <c r="K163" s="4" t="str">
        <f>_xlfn.XLOOKUP(C163,coin_packages!A:A,coin_packages!B:B)</f>
        <v>Small</v>
      </c>
      <c r="L163" s="4" t="str">
        <f t="array" ref="L163">INDEX(coin_packages!$B$2:$B$5,MATCH(C163,coin_packages!$A$2:$A$5,0))</f>
        <v>Small</v>
      </c>
      <c r="M163" s="4">
        <f t="shared" si="4"/>
        <v>4.99</v>
      </c>
      <c r="N163" s="4" t="b">
        <f t="shared" si="5"/>
        <v>0</v>
      </c>
      <c r="O163" s="4" t="b">
        <f>COUNTIF(refunds!$B$2:$B$15,A163)&gt;0</f>
        <v>0</v>
      </c>
      <c r="P163" s="4">
        <f>_xlfn.XLOOKUP(A163,refunds!$B$2:$B$15,refunds!$D$2:$D$15,0,0)</f>
        <v>0</v>
      </c>
      <c r="Q163" s="4" t="str">
        <f>IF(OR(payments[[#This Row],[completed_at]]="",payments[[#This Row],[completed_at]]=0),"",TEXT(payments[[#This Row],[completed_at]],"yyyy-mm"))</f>
        <v>2026-06</v>
      </c>
    </row>
    <row r="164" spans="1:17">
      <c r="A164">
        <v>148</v>
      </c>
      <c r="B164">
        <v>407</v>
      </c>
      <c r="C164">
        <v>3</v>
      </c>
      <c r="D164" s="3">
        <v>46157.1746296296</v>
      </c>
      <c r="E164" s="3">
        <v>46157.1747453704</v>
      </c>
      <c r="F164" t="s">
        <v>25</v>
      </c>
      <c r="G164">
        <v>15.99</v>
      </c>
      <c r="H164">
        <v>600</v>
      </c>
      <c r="I164" s="4" t="str">
        <f>_xlfn.XLOOKUP(B164,users!A:A,users!C:C)</f>
        <v>CA</v>
      </c>
      <c r="J164" s="4" t="str">
        <f>_xlfn.XLOOKUP(B164,users!A:A,users!D:D)</f>
        <v>mobile</v>
      </c>
      <c r="K164" s="4" t="str">
        <f>_xlfn.XLOOKUP(C164,coin_packages!A:A,coin_packages!B:B)</f>
        <v>Large</v>
      </c>
      <c r="L164" s="4" t="str">
        <f t="array" ref="L164">INDEX(coin_packages!$B$2:$B$5,MATCH(C164,coin_packages!$A$2:$A$5,0))</f>
        <v>Large</v>
      </c>
      <c r="M164" s="4">
        <f t="shared" si="4"/>
        <v>15.99</v>
      </c>
      <c r="N164" s="4" t="b">
        <f t="shared" si="5"/>
        <v>0</v>
      </c>
      <c r="O164" s="4" t="b">
        <f>COUNTIF(refunds!$B$2:$B$15,A164)&gt;0</f>
        <v>0</v>
      </c>
      <c r="P164" s="4">
        <f>_xlfn.XLOOKUP(A164,refunds!$B$2:$B$15,refunds!$D$2:$D$15,0,0)</f>
        <v>0</v>
      </c>
      <c r="Q164" s="4" t="str">
        <f>IF(OR(payments[[#This Row],[completed_at]]="",payments[[#This Row],[completed_at]]=0),"",TEXT(payments[[#This Row],[completed_at]],"yyyy-mm"))</f>
        <v>2026-05</v>
      </c>
    </row>
    <row r="165" spans="1:17">
      <c r="A165">
        <v>149</v>
      </c>
      <c r="B165">
        <v>408</v>
      </c>
      <c r="C165">
        <v>3</v>
      </c>
      <c r="D165" s="3">
        <v>46133.1410185185</v>
      </c>
      <c r="E165" s="3">
        <v>46133.1411342593</v>
      </c>
      <c r="F165" t="s">
        <v>25</v>
      </c>
      <c r="G165">
        <v>19.99</v>
      </c>
      <c r="H165">
        <v>600</v>
      </c>
      <c r="I165" s="4" t="str">
        <f>_xlfn.XLOOKUP(B165,users!A:A,users!C:C)</f>
        <v>CA</v>
      </c>
      <c r="J165" s="4" t="str">
        <f>_xlfn.XLOOKUP(B165,users!A:A,users!D:D)</f>
        <v>desktop</v>
      </c>
      <c r="K165" s="4" t="str">
        <f>_xlfn.XLOOKUP(C165,coin_packages!A:A,coin_packages!B:B)</f>
        <v>Large</v>
      </c>
      <c r="L165" s="4" t="str">
        <f t="array" ref="L165">INDEX(coin_packages!$B$2:$B$5,MATCH(C165,coin_packages!$A$2:$A$5,0))</f>
        <v>Large</v>
      </c>
      <c r="M165" s="4">
        <f t="shared" si="4"/>
        <v>19.99</v>
      </c>
      <c r="N165" s="4" t="b">
        <f t="shared" si="5"/>
        <v>0</v>
      </c>
      <c r="O165" s="4" t="b">
        <f>COUNTIF(refunds!$B$2:$B$15,A165)&gt;0</f>
        <v>0</v>
      </c>
      <c r="P165" s="4">
        <f>_xlfn.XLOOKUP(A165,refunds!$B$2:$B$15,refunds!$D$2:$D$15,0,0)</f>
        <v>0</v>
      </c>
      <c r="Q165" s="4" t="str">
        <f>IF(OR(payments[[#This Row],[completed_at]]="",payments[[#This Row],[completed_at]]=0),"",TEXT(payments[[#This Row],[completed_at]],"yyyy-mm"))</f>
        <v>2026-04</v>
      </c>
    </row>
    <row r="166" spans="1:17">
      <c r="A166">
        <v>150</v>
      </c>
      <c r="B166">
        <v>414</v>
      </c>
      <c r="C166">
        <v>2</v>
      </c>
      <c r="D166" s="3">
        <v>46100.6374074074</v>
      </c>
      <c r="E166" s="3">
        <v>46100.6375231482</v>
      </c>
      <c r="F166" t="s">
        <v>25</v>
      </c>
      <c r="G166">
        <v>9.99</v>
      </c>
      <c r="H166">
        <v>250</v>
      </c>
      <c r="I166" s="4" t="str">
        <f>_xlfn.XLOOKUP(B166,users!A:A,users!C:C)</f>
        <v>BR</v>
      </c>
      <c r="J166" s="4" t="str">
        <f>_xlfn.XLOOKUP(B166,users!A:A,users!D:D)</f>
        <v>mobile</v>
      </c>
      <c r="K166" s="4" t="str">
        <f>_xlfn.XLOOKUP(C166,coin_packages!A:A,coin_packages!B:B)</f>
        <v>Medium</v>
      </c>
      <c r="L166" s="4" t="str">
        <f t="array" ref="L166">INDEX(coin_packages!$B$2:$B$5,MATCH(C166,coin_packages!$A$2:$A$5,0))</f>
        <v>Medium</v>
      </c>
      <c r="M166" s="4">
        <f t="shared" si="4"/>
        <v>9.99</v>
      </c>
      <c r="N166" s="4" t="b">
        <f t="shared" si="5"/>
        <v>0</v>
      </c>
      <c r="O166" s="4" t="b">
        <f>COUNTIF(refunds!$B$2:$B$15,A166)&gt;0</f>
        <v>0</v>
      </c>
      <c r="P166" s="4">
        <f>_xlfn.XLOOKUP(A166,refunds!$B$2:$B$15,refunds!$D$2:$D$15,0,0)</f>
        <v>0</v>
      </c>
      <c r="Q166" s="4" t="str">
        <f>IF(OR(payments[[#This Row],[completed_at]]="",payments[[#This Row],[completed_at]]=0),"",TEXT(payments[[#This Row],[completed_at]],"yyyy-mm"))</f>
        <v>2026-03</v>
      </c>
    </row>
    <row r="167" spans="1:17">
      <c r="A167">
        <v>151</v>
      </c>
      <c r="B167">
        <v>415</v>
      </c>
      <c r="C167">
        <v>3</v>
      </c>
      <c r="D167" s="3">
        <v>46175.5750925926</v>
      </c>
      <c r="E167" s="3">
        <v>46175.5752083333</v>
      </c>
      <c r="F167" t="s">
        <v>25</v>
      </c>
      <c r="G167">
        <v>15.99</v>
      </c>
      <c r="H167">
        <v>600</v>
      </c>
      <c r="I167" s="4" t="str">
        <f>_xlfn.XLOOKUP(B167,users!A:A,users!C:C)</f>
        <v>GB</v>
      </c>
      <c r="J167" s="4" t="str">
        <f>_xlfn.XLOOKUP(B167,users!A:A,users!D:D)</f>
        <v>mobile</v>
      </c>
      <c r="K167" s="4" t="str">
        <f>_xlfn.XLOOKUP(C167,coin_packages!A:A,coin_packages!B:B)</f>
        <v>Large</v>
      </c>
      <c r="L167" s="4" t="str">
        <f t="array" ref="L167">INDEX(coin_packages!$B$2:$B$5,MATCH(C167,coin_packages!$A$2:$A$5,0))</f>
        <v>Large</v>
      </c>
      <c r="M167" s="4">
        <f t="shared" si="4"/>
        <v>15.99</v>
      </c>
      <c r="N167" s="4" t="b">
        <f t="shared" si="5"/>
        <v>0</v>
      </c>
      <c r="O167" s="4" t="b">
        <f>COUNTIF(refunds!$B$2:$B$15,A167)&gt;0</f>
        <v>0</v>
      </c>
      <c r="P167" s="4">
        <f>_xlfn.XLOOKUP(A167,refunds!$B$2:$B$15,refunds!$D$2:$D$15,0,0)</f>
        <v>0</v>
      </c>
      <c r="Q167" s="4" t="str">
        <f>IF(OR(payments[[#This Row],[completed_at]]="",payments[[#This Row],[completed_at]]=0),"",TEXT(payments[[#This Row],[completed_at]],"yyyy-mm"))</f>
        <v>2026-06</v>
      </c>
    </row>
    <row r="168" spans="1:17">
      <c r="A168">
        <v>153</v>
      </c>
      <c r="B168">
        <v>423</v>
      </c>
      <c r="C168">
        <v>3</v>
      </c>
      <c r="D168" s="3">
        <v>46093.5883101852</v>
      </c>
      <c r="E168" s="3">
        <v>46093.5884259259</v>
      </c>
      <c r="F168" t="s">
        <v>25</v>
      </c>
      <c r="G168">
        <v>19.99</v>
      </c>
      <c r="H168">
        <v>600</v>
      </c>
      <c r="I168" s="4" t="str">
        <f>_xlfn.XLOOKUP(B168,users!A:A,users!C:C)</f>
        <v>DE</v>
      </c>
      <c r="J168" s="4" t="str">
        <f>_xlfn.XLOOKUP(B168,users!A:A,users!D:D)</f>
        <v>desktop</v>
      </c>
      <c r="K168" s="4" t="str">
        <f>_xlfn.XLOOKUP(C168,coin_packages!A:A,coin_packages!B:B)</f>
        <v>Large</v>
      </c>
      <c r="L168" s="4" t="str">
        <f t="array" ref="L168">INDEX(coin_packages!$B$2:$B$5,MATCH(C168,coin_packages!$A$2:$A$5,0))</f>
        <v>Large</v>
      </c>
      <c r="M168" s="4">
        <f t="shared" si="4"/>
        <v>19.99</v>
      </c>
      <c r="N168" s="4" t="b">
        <f t="shared" si="5"/>
        <v>0</v>
      </c>
      <c r="O168" s="4" t="b">
        <f>COUNTIF(refunds!$B$2:$B$15,A168)&gt;0</f>
        <v>0</v>
      </c>
      <c r="P168" s="4">
        <f>_xlfn.XLOOKUP(A168,refunds!$B$2:$B$15,refunds!$D$2:$D$15,0,0)</f>
        <v>0</v>
      </c>
      <c r="Q168" s="4" t="str">
        <f>IF(OR(payments[[#This Row],[completed_at]]="",payments[[#This Row],[completed_at]]=0),"",TEXT(payments[[#This Row],[completed_at]],"yyyy-mm"))</f>
        <v>2026-03</v>
      </c>
    </row>
    <row r="169" spans="1:17">
      <c r="A169">
        <v>152</v>
      </c>
      <c r="B169">
        <v>423</v>
      </c>
      <c r="C169">
        <v>1</v>
      </c>
      <c r="D169" s="3">
        <v>46088.4768402778</v>
      </c>
      <c r="F169" t="s">
        <v>56</v>
      </c>
      <c r="G169">
        <v>4.99</v>
      </c>
      <c r="H169">
        <v>0</v>
      </c>
      <c r="I169" s="4" t="str">
        <f>_xlfn.XLOOKUP(B169,users!A:A,users!C:C)</f>
        <v>DE</v>
      </c>
      <c r="J169" s="4" t="str">
        <f>_xlfn.XLOOKUP(B169,users!A:A,users!D:D)</f>
        <v>desktop</v>
      </c>
      <c r="K169" s="4" t="str">
        <f>_xlfn.XLOOKUP(C169,coin_packages!A:A,coin_packages!B:B)</f>
        <v>Small</v>
      </c>
      <c r="L169" s="4" t="str">
        <f t="array" ref="L169">INDEX(coin_packages!$B$2:$B$5,MATCH(C169,coin_packages!$A$2:$A$5,0))</f>
        <v>Small</v>
      </c>
      <c r="M169" s="4">
        <f t="shared" si="4"/>
        <v>0</v>
      </c>
      <c r="N169" s="4" t="b">
        <f t="shared" si="5"/>
        <v>0</v>
      </c>
      <c r="O169" s="4" t="b">
        <f>COUNTIF(refunds!$B$2:$B$15,A169)&gt;0</f>
        <v>0</v>
      </c>
      <c r="P169" s="4">
        <f>_xlfn.XLOOKUP(A169,refunds!$B$2:$B$15,refunds!$D$2:$D$15,0,0)</f>
        <v>0</v>
      </c>
      <c r="Q169" s="4" t="str">
        <f>IF(OR(payments[[#This Row],[completed_at]]="",payments[[#This Row],[completed_at]]=0),"",TEXT(payments[[#This Row],[completed_at]],"yyyy-mm"))</f>
        <v/>
      </c>
    </row>
    <row r="170" spans="1:17">
      <c r="A170">
        <v>154</v>
      </c>
      <c r="B170">
        <v>427</v>
      </c>
      <c r="C170">
        <v>3</v>
      </c>
      <c r="D170" s="3">
        <v>46173.0891087963</v>
      </c>
      <c r="E170" s="3">
        <v>46173.089224537</v>
      </c>
      <c r="F170" t="s">
        <v>25</v>
      </c>
      <c r="G170">
        <v>19.99</v>
      </c>
      <c r="H170">
        <v>600</v>
      </c>
      <c r="I170" s="4" t="str">
        <f>_xlfn.XLOOKUP(B170,users!A:A,users!C:C)</f>
        <v>UA</v>
      </c>
      <c r="J170" s="4" t="str">
        <f>_xlfn.XLOOKUP(B170,users!A:A,users!D:D)</f>
        <v>desktop</v>
      </c>
      <c r="K170" s="4" t="str">
        <f>_xlfn.XLOOKUP(C170,coin_packages!A:A,coin_packages!B:B)</f>
        <v>Large</v>
      </c>
      <c r="L170" s="4" t="str">
        <f t="array" ref="L170">INDEX(coin_packages!$B$2:$B$5,MATCH(C170,coin_packages!$A$2:$A$5,0))</f>
        <v>Large</v>
      </c>
      <c r="M170" s="4">
        <f t="shared" si="4"/>
        <v>19.99</v>
      </c>
      <c r="N170" s="4" t="b">
        <f t="shared" si="5"/>
        <v>0</v>
      </c>
      <c r="O170" s="4" t="b">
        <f>COUNTIF(refunds!$B$2:$B$15,A170)&gt;0</f>
        <v>0</v>
      </c>
      <c r="P170" s="4">
        <f>_xlfn.XLOOKUP(A170,refunds!$B$2:$B$15,refunds!$D$2:$D$15,0,0)</f>
        <v>0</v>
      </c>
      <c r="Q170" s="4" t="str">
        <f>IF(OR(payments[[#This Row],[completed_at]]="",payments[[#This Row],[completed_at]]=0),"",TEXT(payments[[#This Row],[completed_at]],"yyyy-mm"))</f>
        <v>2026-05</v>
      </c>
    </row>
    <row r="171" spans="1:17">
      <c r="A171">
        <v>155</v>
      </c>
      <c r="B171">
        <v>429</v>
      </c>
      <c r="C171">
        <v>2</v>
      </c>
      <c r="D171" s="3">
        <v>46075.0513310185</v>
      </c>
      <c r="E171" s="3">
        <v>46075.0514467593</v>
      </c>
      <c r="F171" t="s">
        <v>25</v>
      </c>
      <c r="G171">
        <v>9.99</v>
      </c>
      <c r="H171">
        <v>250</v>
      </c>
      <c r="I171" s="4" t="str">
        <f>_xlfn.XLOOKUP(B171,users!A:A,users!C:C)</f>
        <v>DE</v>
      </c>
      <c r="J171" s="4" t="str">
        <f>_xlfn.XLOOKUP(B171,users!A:A,users!D:D)</f>
        <v>mobile</v>
      </c>
      <c r="K171" s="4" t="str">
        <f>_xlfn.XLOOKUP(C171,coin_packages!A:A,coin_packages!B:B)</f>
        <v>Medium</v>
      </c>
      <c r="L171" s="4" t="str">
        <f t="array" ref="L171">INDEX(coin_packages!$B$2:$B$5,MATCH(C171,coin_packages!$A$2:$A$5,0))</f>
        <v>Medium</v>
      </c>
      <c r="M171" s="4">
        <f t="shared" si="4"/>
        <v>9.99</v>
      </c>
      <c r="N171" s="4" t="b">
        <f t="shared" si="5"/>
        <v>0</v>
      </c>
      <c r="O171" s="4" t="b">
        <f>COUNTIF(refunds!$B$2:$B$15,A171)&gt;0</f>
        <v>0</v>
      </c>
      <c r="P171" s="4">
        <f>_xlfn.XLOOKUP(A171,refunds!$B$2:$B$15,refunds!$D$2:$D$15,0,0)</f>
        <v>0</v>
      </c>
      <c r="Q171" s="4" t="str">
        <f>IF(OR(payments[[#This Row],[completed_at]]="",payments[[#This Row],[completed_at]]=0),"",TEXT(payments[[#This Row],[completed_at]],"yyyy-mm"))</f>
        <v>2026-02</v>
      </c>
    </row>
    <row r="172" spans="1:17">
      <c r="A172">
        <v>156</v>
      </c>
      <c r="B172">
        <v>431</v>
      </c>
      <c r="C172">
        <v>3</v>
      </c>
      <c r="D172" s="3">
        <v>46127.123275463</v>
      </c>
      <c r="E172" s="3">
        <v>46127.1233912037</v>
      </c>
      <c r="F172" t="s">
        <v>25</v>
      </c>
      <c r="G172">
        <v>19.99</v>
      </c>
      <c r="H172">
        <v>600</v>
      </c>
      <c r="I172" s="4" t="str">
        <f>_xlfn.XLOOKUP(B172,users!A:A,users!C:C)</f>
        <v>CA</v>
      </c>
      <c r="J172" s="4" t="str">
        <f>_xlfn.XLOOKUP(B172,users!A:A,users!D:D)</f>
        <v>desktop</v>
      </c>
      <c r="K172" s="4" t="str">
        <f>_xlfn.XLOOKUP(C172,coin_packages!A:A,coin_packages!B:B)</f>
        <v>Large</v>
      </c>
      <c r="L172" s="4" t="str">
        <f t="array" ref="L172">INDEX(coin_packages!$B$2:$B$5,MATCH(C172,coin_packages!$A$2:$A$5,0))</f>
        <v>Large</v>
      </c>
      <c r="M172" s="4">
        <f t="shared" si="4"/>
        <v>19.99</v>
      </c>
      <c r="N172" s="4" t="b">
        <f t="shared" si="5"/>
        <v>0</v>
      </c>
      <c r="O172" s="4" t="b">
        <f>COUNTIF(refunds!$B$2:$B$15,A172)&gt;0</f>
        <v>0</v>
      </c>
      <c r="P172" s="4">
        <f>_xlfn.XLOOKUP(A172,refunds!$B$2:$B$15,refunds!$D$2:$D$15,0,0)</f>
        <v>0</v>
      </c>
      <c r="Q172" s="4" t="str">
        <f>IF(OR(payments[[#This Row],[completed_at]]="",payments[[#This Row],[completed_at]]=0),"",TEXT(payments[[#This Row],[completed_at]],"yyyy-mm"))</f>
        <v>2026-04</v>
      </c>
    </row>
    <row r="173" spans="1:17">
      <c r="A173">
        <v>157</v>
      </c>
      <c r="B173">
        <v>437</v>
      </c>
      <c r="C173">
        <v>3</v>
      </c>
      <c r="D173" s="3">
        <v>46106.2765277778</v>
      </c>
      <c r="E173" s="3">
        <v>46106.2766435185</v>
      </c>
      <c r="F173" t="s">
        <v>25</v>
      </c>
      <c r="G173">
        <v>15.99</v>
      </c>
      <c r="H173">
        <v>600</v>
      </c>
      <c r="I173" s="4" t="str">
        <f>_xlfn.XLOOKUP(B173,users!A:A,users!C:C)</f>
        <v>US</v>
      </c>
      <c r="J173" s="4" t="str">
        <f>_xlfn.XLOOKUP(B173,users!A:A,users!D:D)</f>
        <v>desktop</v>
      </c>
      <c r="K173" s="4" t="str">
        <f>_xlfn.XLOOKUP(C173,coin_packages!A:A,coin_packages!B:B)</f>
        <v>Large</v>
      </c>
      <c r="L173" s="4" t="str">
        <f t="array" ref="L173">INDEX(coin_packages!$B$2:$B$5,MATCH(C173,coin_packages!$A$2:$A$5,0))</f>
        <v>Large</v>
      </c>
      <c r="M173" s="4">
        <f t="shared" si="4"/>
        <v>15.99</v>
      </c>
      <c r="N173" s="4" t="b">
        <f t="shared" si="5"/>
        <v>0</v>
      </c>
      <c r="O173" s="4" t="b">
        <f>COUNTIF(refunds!$B$2:$B$15,A173)&gt;0</f>
        <v>0</v>
      </c>
      <c r="P173" s="4">
        <f>_xlfn.XLOOKUP(A173,refunds!$B$2:$B$15,refunds!$D$2:$D$15,0,0)</f>
        <v>0</v>
      </c>
      <c r="Q173" s="4" t="str">
        <f>IF(OR(payments[[#This Row],[completed_at]]="",payments[[#This Row],[completed_at]]=0),"",TEXT(payments[[#This Row],[completed_at]],"yyyy-mm"))</f>
        <v>2026-03</v>
      </c>
    </row>
    <row r="174" spans="1:17">
      <c r="A174">
        <v>158</v>
      </c>
      <c r="B174">
        <v>439</v>
      </c>
      <c r="C174">
        <v>3</v>
      </c>
      <c r="D174" s="3">
        <v>46123.2627430556</v>
      </c>
      <c r="E174" s="3">
        <v>46123.2628587963</v>
      </c>
      <c r="F174" t="s">
        <v>25</v>
      </c>
      <c r="G174">
        <v>19.99</v>
      </c>
      <c r="H174">
        <v>600</v>
      </c>
      <c r="I174" s="4" t="str">
        <f>_xlfn.XLOOKUP(B174,users!A:A,users!C:C)</f>
        <v>CA</v>
      </c>
      <c r="J174" s="4" t="str">
        <f>_xlfn.XLOOKUP(B174,users!A:A,users!D:D)</f>
        <v>mobile</v>
      </c>
      <c r="K174" s="4" t="str">
        <f>_xlfn.XLOOKUP(C174,coin_packages!A:A,coin_packages!B:B)</f>
        <v>Large</v>
      </c>
      <c r="L174" s="4" t="str">
        <f t="array" ref="L174">INDEX(coin_packages!$B$2:$B$5,MATCH(C174,coin_packages!$A$2:$A$5,0))</f>
        <v>Large</v>
      </c>
      <c r="M174" s="4">
        <f t="shared" si="4"/>
        <v>19.99</v>
      </c>
      <c r="N174" s="4" t="b">
        <f t="shared" si="5"/>
        <v>0</v>
      </c>
      <c r="O174" s="4" t="b">
        <f>COUNTIF(refunds!$B$2:$B$15,A174)&gt;0</f>
        <v>0</v>
      </c>
      <c r="P174" s="4">
        <f>_xlfn.XLOOKUP(A174,refunds!$B$2:$B$15,refunds!$D$2:$D$15,0,0)</f>
        <v>0</v>
      </c>
      <c r="Q174" s="4" t="str">
        <f>IF(OR(payments[[#This Row],[completed_at]]="",payments[[#This Row],[completed_at]]=0),"",TEXT(payments[[#This Row],[completed_at]],"yyyy-mm"))</f>
        <v>2026-04</v>
      </c>
    </row>
    <row r="175" spans="1:17">
      <c r="A175">
        <v>160</v>
      </c>
      <c r="B175">
        <v>443</v>
      </c>
      <c r="C175">
        <v>2</v>
      </c>
      <c r="D175" s="3">
        <v>46177.2499189815</v>
      </c>
      <c r="E175" s="3">
        <v>46177.2500347222</v>
      </c>
      <c r="F175" t="s">
        <v>25</v>
      </c>
      <c r="G175">
        <v>9.99</v>
      </c>
      <c r="H175">
        <v>250</v>
      </c>
      <c r="I175" s="4" t="str">
        <f>_xlfn.XLOOKUP(B175,users!A:A,users!C:C)</f>
        <v>GB</v>
      </c>
      <c r="J175" s="4" t="str">
        <f>_xlfn.XLOOKUP(B175,users!A:A,users!D:D)</f>
        <v>mobile</v>
      </c>
      <c r="K175" s="4" t="str">
        <f>_xlfn.XLOOKUP(C175,coin_packages!A:A,coin_packages!B:B)</f>
        <v>Medium</v>
      </c>
      <c r="L175" s="4" t="str">
        <f t="array" ref="L175">INDEX(coin_packages!$B$2:$B$5,MATCH(C175,coin_packages!$A$2:$A$5,0))</f>
        <v>Medium</v>
      </c>
      <c r="M175" s="4">
        <f t="shared" si="4"/>
        <v>9.99</v>
      </c>
      <c r="N175" s="4" t="b">
        <f t="shared" si="5"/>
        <v>0</v>
      </c>
      <c r="O175" s="4" t="b">
        <f>COUNTIF(refunds!$B$2:$B$15,A175)&gt;0</f>
        <v>0</v>
      </c>
      <c r="P175" s="4">
        <f>_xlfn.XLOOKUP(A175,refunds!$B$2:$B$15,refunds!$D$2:$D$15,0,0)</f>
        <v>0</v>
      </c>
      <c r="Q175" s="4" t="str">
        <f>IF(OR(payments[[#This Row],[completed_at]]="",payments[[#This Row],[completed_at]]=0),"",TEXT(payments[[#This Row],[completed_at]],"yyyy-mm"))</f>
        <v>2026-06</v>
      </c>
    </row>
    <row r="176" spans="1:17">
      <c r="A176">
        <v>159</v>
      </c>
      <c r="B176">
        <v>443</v>
      </c>
      <c r="C176">
        <v>1</v>
      </c>
      <c r="D176" s="3">
        <v>46092.5508449074</v>
      </c>
      <c r="E176" s="3">
        <v>46092.5509606482</v>
      </c>
      <c r="F176" t="s">
        <v>25</v>
      </c>
      <c r="G176">
        <v>4.99</v>
      </c>
      <c r="H176">
        <v>100</v>
      </c>
      <c r="I176" s="4" t="str">
        <f>_xlfn.XLOOKUP(B176,users!A:A,users!C:C)</f>
        <v>GB</v>
      </c>
      <c r="J176" s="4" t="str">
        <f>_xlfn.XLOOKUP(B176,users!A:A,users!D:D)</f>
        <v>mobile</v>
      </c>
      <c r="K176" s="4" t="str">
        <f>_xlfn.XLOOKUP(C176,coin_packages!A:A,coin_packages!B:B)</f>
        <v>Small</v>
      </c>
      <c r="L176" s="4" t="str">
        <f t="array" ref="L176">INDEX(coin_packages!$B$2:$B$5,MATCH(C176,coin_packages!$A$2:$A$5,0))</f>
        <v>Small</v>
      </c>
      <c r="M176" s="4">
        <f t="shared" si="4"/>
        <v>4.99</v>
      </c>
      <c r="N176" s="4" t="b">
        <f t="shared" si="5"/>
        <v>0</v>
      </c>
      <c r="O176" s="4" t="b">
        <f>COUNTIF(refunds!$B$2:$B$15,A176)&gt;0</f>
        <v>0</v>
      </c>
      <c r="P176" s="4">
        <f>_xlfn.XLOOKUP(A176,refunds!$B$2:$B$15,refunds!$D$2:$D$15,0,0)</f>
        <v>0</v>
      </c>
      <c r="Q176" s="4" t="str">
        <f>IF(OR(payments[[#This Row],[completed_at]]="",payments[[#This Row],[completed_at]]=0),"",TEXT(payments[[#This Row],[completed_at]],"yyyy-mm"))</f>
        <v>2026-03</v>
      </c>
    </row>
    <row r="177" spans="1:17">
      <c r="A177">
        <v>161</v>
      </c>
      <c r="B177">
        <v>444</v>
      </c>
      <c r="C177">
        <v>1</v>
      </c>
      <c r="D177" s="3">
        <v>46181.1168865741</v>
      </c>
      <c r="E177" s="3">
        <v>46181.1170023148</v>
      </c>
      <c r="F177" t="s">
        <v>25</v>
      </c>
      <c r="G177">
        <v>3.99</v>
      </c>
      <c r="H177">
        <v>100</v>
      </c>
      <c r="I177" s="4" t="str">
        <f>_xlfn.XLOOKUP(B177,users!A:A,users!C:C)</f>
        <v>DE</v>
      </c>
      <c r="J177" s="4" t="str">
        <f>_xlfn.XLOOKUP(B177,users!A:A,users!D:D)</f>
        <v>desktop</v>
      </c>
      <c r="K177" s="4" t="str">
        <f>_xlfn.XLOOKUP(C177,coin_packages!A:A,coin_packages!B:B)</f>
        <v>Small</v>
      </c>
      <c r="L177" s="4" t="str">
        <f t="array" ref="L177">INDEX(coin_packages!$B$2:$B$5,MATCH(C177,coin_packages!$A$2:$A$5,0))</f>
        <v>Small</v>
      </c>
      <c r="M177" s="4">
        <f t="shared" si="4"/>
        <v>3.99</v>
      </c>
      <c r="N177" s="4" t="b">
        <f t="shared" si="5"/>
        <v>0</v>
      </c>
      <c r="O177" s="4" t="b">
        <f>COUNTIF(refunds!$B$2:$B$15,A177)&gt;0</f>
        <v>0</v>
      </c>
      <c r="P177" s="4">
        <f>_xlfn.XLOOKUP(A177,refunds!$B$2:$B$15,refunds!$D$2:$D$15,0,0)</f>
        <v>0</v>
      </c>
      <c r="Q177" s="4" t="str">
        <f>IF(OR(payments[[#This Row],[completed_at]]="",payments[[#This Row],[completed_at]]=0),"",TEXT(payments[[#This Row],[completed_at]],"yyyy-mm"))</f>
        <v>2026-06</v>
      </c>
    </row>
    <row r="178" spans="1:17">
      <c r="A178">
        <v>162</v>
      </c>
      <c r="B178">
        <v>447</v>
      </c>
      <c r="C178">
        <v>1</v>
      </c>
      <c r="D178" s="3">
        <v>46172.1726851852</v>
      </c>
      <c r="E178" s="3">
        <v>46172.1728009259</v>
      </c>
      <c r="F178" t="s">
        <v>25</v>
      </c>
      <c r="G178">
        <v>4.99</v>
      </c>
      <c r="H178">
        <v>100</v>
      </c>
      <c r="I178" s="4" t="str">
        <f>_xlfn.XLOOKUP(B178,users!A:A,users!C:C)</f>
        <v>GB</v>
      </c>
      <c r="J178" s="4" t="str">
        <f>_xlfn.XLOOKUP(B178,users!A:A,users!D:D)</f>
        <v>tablet</v>
      </c>
      <c r="K178" s="4" t="str">
        <f>_xlfn.XLOOKUP(C178,coin_packages!A:A,coin_packages!B:B)</f>
        <v>Small</v>
      </c>
      <c r="L178" s="4" t="str">
        <f t="array" ref="L178">INDEX(coin_packages!$B$2:$B$5,MATCH(C178,coin_packages!$A$2:$A$5,0))</f>
        <v>Small</v>
      </c>
      <c r="M178" s="4">
        <f t="shared" si="4"/>
        <v>4.99</v>
      </c>
      <c r="N178" s="4" t="b">
        <f t="shared" si="5"/>
        <v>0</v>
      </c>
      <c r="O178" s="4" t="b">
        <f>COUNTIF(refunds!$B$2:$B$15,A178)&gt;0</f>
        <v>0</v>
      </c>
      <c r="P178" s="4">
        <f>_xlfn.XLOOKUP(A178,refunds!$B$2:$B$15,refunds!$D$2:$D$15,0,0)</f>
        <v>0</v>
      </c>
      <c r="Q178" s="4" t="str">
        <f>IF(OR(payments[[#This Row],[completed_at]]="",payments[[#This Row],[completed_at]]=0),"",TEXT(payments[[#This Row],[completed_at]],"yyyy-mm"))</f>
        <v>2026-05</v>
      </c>
    </row>
    <row r="179" spans="1:17">
      <c r="A179">
        <v>166</v>
      </c>
      <c r="B179">
        <v>450</v>
      </c>
      <c r="C179">
        <v>1</v>
      </c>
      <c r="D179" s="3">
        <v>46200.276724537</v>
      </c>
      <c r="E179" s="3">
        <v>46200.2768402778</v>
      </c>
      <c r="F179" t="s">
        <v>25</v>
      </c>
      <c r="G179">
        <v>3.99</v>
      </c>
      <c r="H179">
        <v>100</v>
      </c>
      <c r="I179" s="4" t="str">
        <f>_xlfn.XLOOKUP(B179,users!A:A,users!C:C)</f>
        <v>BR</v>
      </c>
      <c r="J179" s="4" t="str">
        <f>_xlfn.XLOOKUP(B179,users!A:A,users!D:D)</f>
        <v>desktop</v>
      </c>
      <c r="K179" s="4" t="str">
        <f>_xlfn.XLOOKUP(C179,coin_packages!A:A,coin_packages!B:B)</f>
        <v>Small</v>
      </c>
      <c r="L179" s="4" t="str">
        <f t="array" ref="L179">INDEX(coin_packages!$B$2:$B$5,MATCH(C179,coin_packages!$A$2:$A$5,0))</f>
        <v>Small</v>
      </c>
      <c r="M179" s="4">
        <f t="shared" si="4"/>
        <v>3.99</v>
      </c>
      <c r="N179" s="4" t="b">
        <f t="shared" si="5"/>
        <v>0</v>
      </c>
      <c r="O179" s="4" t="b">
        <f>COUNTIF(refunds!$B$2:$B$15,A179)&gt;0</f>
        <v>0</v>
      </c>
      <c r="P179" s="4">
        <f>_xlfn.XLOOKUP(A179,refunds!$B$2:$B$15,refunds!$D$2:$D$15,0,0)</f>
        <v>0</v>
      </c>
      <c r="Q179" s="4" t="str">
        <f>IF(OR(payments[[#This Row],[completed_at]]="",payments[[#This Row],[completed_at]]=0),"",TEXT(payments[[#This Row],[completed_at]],"yyyy-mm"))</f>
        <v>2026-06</v>
      </c>
    </row>
    <row r="180" spans="1:17">
      <c r="A180">
        <v>165</v>
      </c>
      <c r="B180">
        <v>450</v>
      </c>
      <c r="C180">
        <v>3</v>
      </c>
      <c r="D180" s="3">
        <v>46199.8243055556</v>
      </c>
      <c r="E180" s="3">
        <v>46199.8244212963</v>
      </c>
      <c r="F180" t="s">
        <v>25</v>
      </c>
      <c r="G180">
        <v>19.99</v>
      </c>
      <c r="H180">
        <v>600</v>
      </c>
      <c r="I180" s="4" t="str">
        <f>_xlfn.XLOOKUP(B180,users!A:A,users!C:C)</f>
        <v>BR</v>
      </c>
      <c r="J180" s="4" t="str">
        <f>_xlfn.XLOOKUP(B180,users!A:A,users!D:D)</f>
        <v>desktop</v>
      </c>
      <c r="K180" s="4" t="str">
        <f>_xlfn.XLOOKUP(C180,coin_packages!A:A,coin_packages!B:B)</f>
        <v>Large</v>
      </c>
      <c r="L180" s="4" t="str">
        <f t="array" ref="L180">INDEX(coin_packages!$B$2:$B$5,MATCH(C180,coin_packages!$A$2:$A$5,0))</f>
        <v>Large</v>
      </c>
      <c r="M180" s="4">
        <f t="shared" si="4"/>
        <v>19.99</v>
      </c>
      <c r="N180" s="4" t="b">
        <f t="shared" si="5"/>
        <v>0</v>
      </c>
      <c r="O180" s="4" t="b">
        <f>COUNTIF(refunds!$B$2:$B$15,A180)&gt;0</f>
        <v>1</v>
      </c>
      <c r="P180" s="4">
        <f>_xlfn.XLOOKUP(A180,refunds!$B$2:$B$15,refunds!$D$2:$D$15,0,0)</f>
        <v>19.99</v>
      </c>
      <c r="Q180" s="4" t="str">
        <f>IF(OR(payments[[#This Row],[completed_at]]="",payments[[#This Row],[completed_at]]=0),"",TEXT(payments[[#This Row],[completed_at]],"yyyy-mm"))</f>
        <v>2026-06</v>
      </c>
    </row>
    <row r="181" spans="1:17">
      <c r="A181">
        <v>164</v>
      </c>
      <c r="B181">
        <v>450</v>
      </c>
      <c r="C181">
        <v>1</v>
      </c>
      <c r="D181" s="3">
        <v>46184.6488310185</v>
      </c>
      <c r="E181" s="3">
        <v>46184.6489467593</v>
      </c>
      <c r="F181" t="s">
        <v>25</v>
      </c>
      <c r="G181">
        <v>4.99</v>
      </c>
      <c r="H181">
        <v>100</v>
      </c>
      <c r="I181" s="4" t="str">
        <f>_xlfn.XLOOKUP(B181,users!A:A,users!C:C)</f>
        <v>BR</v>
      </c>
      <c r="J181" s="4" t="str">
        <f>_xlfn.XLOOKUP(B181,users!A:A,users!D:D)</f>
        <v>desktop</v>
      </c>
      <c r="K181" s="4" t="str">
        <f>_xlfn.XLOOKUP(C181,coin_packages!A:A,coin_packages!B:B)</f>
        <v>Small</v>
      </c>
      <c r="L181" s="4" t="str">
        <f t="array" ref="L181">INDEX(coin_packages!$B$2:$B$5,MATCH(C181,coin_packages!$A$2:$A$5,0))</f>
        <v>Small</v>
      </c>
      <c r="M181" s="4">
        <f t="shared" si="4"/>
        <v>4.99</v>
      </c>
      <c r="N181" s="4" t="b">
        <f t="shared" si="5"/>
        <v>0</v>
      </c>
      <c r="O181" s="4" t="b">
        <f>COUNTIF(refunds!$B$2:$B$15,A181)&gt;0</f>
        <v>0</v>
      </c>
      <c r="P181" s="4">
        <f>_xlfn.XLOOKUP(A181,refunds!$B$2:$B$15,refunds!$D$2:$D$15,0,0)</f>
        <v>0</v>
      </c>
      <c r="Q181" s="4" t="str">
        <f>IF(OR(payments[[#This Row],[completed_at]]="",payments[[#This Row],[completed_at]]=0),"",TEXT(payments[[#This Row],[completed_at]],"yyyy-mm"))</f>
        <v>2026-06</v>
      </c>
    </row>
    <row r="182" spans="1:17">
      <c r="A182">
        <v>163</v>
      </c>
      <c r="B182">
        <v>450</v>
      </c>
      <c r="C182">
        <v>1</v>
      </c>
      <c r="D182" s="3">
        <v>46155.3436921296</v>
      </c>
      <c r="E182" s="3">
        <v>46155.3438078704</v>
      </c>
      <c r="F182" t="s">
        <v>25</v>
      </c>
      <c r="G182">
        <v>4.99</v>
      </c>
      <c r="H182">
        <v>100</v>
      </c>
      <c r="I182" s="4" t="str">
        <f>_xlfn.XLOOKUP(B182,users!A:A,users!C:C)</f>
        <v>BR</v>
      </c>
      <c r="J182" s="4" t="str">
        <f>_xlfn.XLOOKUP(B182,users!A:A,users!D:D)</f>
        <v>desktop</v>
      </c>
      <c r="K182" s="4" t="str">
        <f>_xlfn.XLOOKUP(C182,coin_packages!A:A,coin_packages!B:B)</f>
        <v>Small</v>
      </c>
      <c r="L182" s="4" t="str">
        <f t="array" ref="L182">INDEX(coin_packages!$B$2:$B$5,MATCH(C182,coin_packages!$A$2:$A$5,0))</f>
        <v>Small</v>
      </c>
      <c r="M182" s="4">
        <f t="shared" si="4"/>
        <v>4.99</v>
      </c>
      <c r="N182" s="4" t="b">
        <f t="shared" si="5"/>
        <v>0</v>
      </c>
      <c r="O182" s="4" t="b">
        <f>COUNTIF(refunds!$B$2:$B$15,A182)&gt;0</f>
        <v>0</v>
      </c>
      <c r="P182" s="4">
        <f>_xlfn.XLOOKUP(A182,refunds!$B$2:$B$15,refunds!$D$2:$D$15,0,0)</f>
        <v>0</v>
      </c>
      <c r="Q182" s="4" t="str">
        <f>IF(OR(payments[[#This Row],[completed_at]]="",payments[[#This Row],[completed_at]]=0),"",TEXT(payments[[#This Row],[completed_at]],"yyyy-mm"))</f>
        <v>2026-05</v>
      </c>
    </row>
    <row r="183" spans="1:17">
      <c r="A183">
        <v>167</v>
      </c>
      <c r="B183">
        <v>452</v>
      </c>
      <c r="C183">
        <v>3</v>
      </c>
      <c r="D183" s="3">
        <v>46186.1623611111</v>
      </c>
      <c r="E183" s="3">
        <v>46186.1624768519</v>
      </c>
      <c r="F183" t="s">
        <v>25</v>
      </c>
      <c r="G183">
        <v>19.99</v>
      </c>
      <c r="H183">
        <v>600</v>
      </c>
      <c r="I183" s="4" t="str">
        <f>_xlfn.XLOOKUP(B183,users!A:A,users!C:C)</f>
        <v>DE</v>
      </c>
      <c r="J183" s="4" t="str">
        <f>_xlfn.XLOOKUP(B183,users!A:A,users!D:D)</f>
        <v>mobile</v>
      </c>
      <c r="K183" s="4" t="str">
        <f>_xlfn.XLOOKUP(C183,coin_packages!A:A,coin_packages!B:B)</f>
        <v>Large</v>
      </c>
      <c r="L183" s="4" t="str">
        <f t="array" ref="L183">INDEX(coin_packages!$B$2:$B$5,MATCH(C183,coin_packages!$A$2:$A$5,0))</f>
        <v>Large</v>
      </c>
      <c r="M183" s="4">
        <f t="shared" si="4"/>
        <v>19.99</v>
      </c>
      <c r="N183" s="4" t="b">
        <f t="shared" si="5"/>
        <v>0</v>
      </c>
      <c r="O183" s="4" t="b">
        <f>COUNTIF(refunds!$B$2:$B$15,A183)&gt;0</f>
        <v>0</v>
      </c>
      <c r="P183" s="4">
        <f>_xlfn.XLOOKUP(A183,refunds!$B$2:$B$15,refunds!$D$2:$D$15,0,0)</f>
        <v>0</v>
      </c>
      <c r="Q183" s="4" t="str">
        <f>IF(OR(payments[[#This Row],[completed_at]]="",payments[[#This Row],[completed_at]]=0),"",TEXT(payments[[#This Row],[completed_at]],"yyyy-mm"))</f>
        <v>2026-06</v>
      </c>
    </row>
    <row r="184" spans="1:17">
      <c r="A184">
        <v>168</v>
      </c>
      <c r="B184">
        <v>453</v>
      </c>
      <c r="C184">
        <v>3</v>
      </c>
      <c r="D184" s="3">
        <v>46149.2836921296</v>
      </c>
      <c r="E184" s="3">
        <v>46149.2838078704</v>
      </c>
      <c r="F184" t="s">
        <v>25</v>
      </c>
      <c r="G184">
        <v>19.99</v>
      </c>
      <c r="H184">
        <v>600</v>
      </c>
      <c r="I184" s="4" t="str">
        <f>_xlfn.XLOOKUP(B184,users!A:A,users!C:C)</f>
        <v>US</v>
      </c>
      <c r="J184" s="4" t="str">
        <f>_xlfn.XLOOKUP(B184,users!A:A,users!D:D)</f>
        <v>tablet</v>
      </c>
      <c r="K184" s="4" t="str">
        <f>_xlfn.XLOOKUP(C184,coin_packages!A:A,coin_packages!B:B)</f>
        <v>Large</v>
      </c>
      <c r="L184" s="4" t="str">
        <f t="array" ref="L184">INDEX(coin_packages!$B$2:$B$5,MATCH(C184,coin_packages!$A$2:$A$5,0))</f>
        <v>Large</v>
      </c>
      <c r="M184" s="4">
        <f t="shared" si="4"/>
        <v>19.99</v>
      </c>
      <c r="N184" s="4" t="b">
        <f t="shared" si="5"/>
        <v>1</v>
      </c>
      <c r="O184" s="4" t="b">
        <f>COUNTIF(refunds!$B$2:$B$15,A184)&gt;0</f>
        <v>0</v>
      </c>
      <c r="P184" s="4">
        <f>_xlfn.XLOOKUP(A184,refunds!$B$2:$B$15,refunds!$D$2:$D$15,0,0)</f>
        <v>0</v>
      </c>
      <c r="Q184" s="4" t="str">
        <f>IF(OR(payments[[#This Row],[completed_at]]="",payments[[#This Row],[completed_at]]=0),"",TEXT(payments[[#This Row],[completed_at]],"yyyy-mm"))</f>
        <v>2026-05</v>
      </c>
    </row>
    <row r="185" spans="1:17">
      <c r="A185">
        <v>169</v>
      </c>
      <c r="B185">
        <v>454</v>
      </c>
      <c r="C185">
        <v>3</v>
      </c>
      <c r="D185" s="3">
        <v>46115.1642939815</v>
      </c>
      <c r="E185" s="3">
        <v>46115.1644097222</v>
      </c>
      <c r="F185" t="s">
        <v>25</v>
      </c>
      <c r="G185">
        <v>19.99</v>
      </c>
      <c r="H185">
        <v>600</v>
      </c>
      <c r="I185" s="4" t="str">
        <f>_xlfn.XLOOKUP(B185,users!A:A,users!C:C)</f>
        <v>DE</v>
      </c>
      <c r="J185" s="4" t="str">
        <f>_xlfn.XLOOKUP(B185,users!A:A,users!D:D)</f>
        <v>desktop</v>
      </c>
      <c r="K185" s="4" t="str">
        <f>_xlfn.XLOOKUP(C185,coin_packages!A:A,coin_packages!B:B)</f>
        <v>Large</v>
      </c>
      <c r="L185" s="4" t="str">
        <f t="array" ref="L185">INDEX(coin_packages!$B$2:$B$5,MATCH(C185,coin_packages!$A$2:$A$5,0))</f>
        <v>Large</v>
      </c>
      <c r="M185" s="4">
        <f t="shared" si="4"/>
        <v>19.99</v>
      </c>
      <c r="N185" s="4" t="b">
        <f t="shared" si="5"/>
        <v>0</v>
      </c>
      <c r="O185" s="4" t="b">
        <f>COUNTIF(refunds!$B$2:$B$15,A185)&gt;0</f>
        <v>0</v>
      </c>
      <c r="P185" s="4">
        <f>_xlfn.XLOOKUP(A185,refunds!$B$2:$B$15,refunds!$D$2:$D$15,0,0)</f>
        <v>0</v>
      </c>
      <c r="Q185" s="4" t="str">
        <f>IF(OR(payments[[#This Row],[completed_at]]="",payments[[#This Row],[completed_at]]=0),"",TEXT(payments[[#This Row],[completed_at]],"yyyy-mm"))</f>
        <v>2026-04</v>
      </c>
    </row>
    <row r="186" spans="1:17">
      <c r="A186">
        <v>170</v>
      </c>
      <c r="B186">
        <v>455</v>
      </c>
      <c r="C186">
        <v>2</v>
      </c>
      <c r="D186" s="3">
        <v>46136.6931712963</v>
      </c>
      <c r="E186" s="3">
        <v>46136.693287037</v>
      </c>
      <c r="F186" t="s">
        <v>25</v>
      </c>
      <c r="G186">
        <v>9.99</v>
      </c>
      <c r="H186">
        <v>250</v>
      </c>
      <c r="I186" s="4" t="str">
        <f>_xlfn.XLOOKUP(B186,users!A:A,users!C:C)</f>
        <v>BR</v>
      </c>
      <c r="J186" s="4" t="str">
        <f>_xlfn.XLOOKUP(B186,users!A:A,users!D:D)</f>
        <v>desktop</v>
      </c>
      <c r="K186" s="4" t="str">
        <f>_xlfn.XLOOKUP(C186,coin_packages!A:A,coin_packages!B:B)</f>
        <v>Medium</v>
      </c>
      <c r="L186" s="4" t="str">
        <f t="array" ref="L186">INDEX(coin_packages!$B$2:$B$5,MATCH(C186,coin_packages!$A$2:$A$5,0))</f>
        <v>Medium</v>
      </c>
      <c r="M186" s="4">
        <f t="shared" si="4"/>
        <v>9.99</v>
      </c>
      <c r="N186" s="4" t="b">
        <f t="shared" si="5"/>
        <v>0</v>
      </c>
      <c r="O186" s="4" t="b">
        <f>COUNTIF(refunds!$B$2:$B$15,A186)&gt;0</f>
        <v>0</v>
      </c>
      <c r="P186" s="4">
        <f>_xlfn.XLOOKUP(A186,refunds!$B$2:$B$15,refunds!$D$2:$D$15,0,0)</f>
        <v>0</v>
      </c>
      <c r="Q186" s="4" t="str">
        <f>IF(OR(payments[[#This Row],[completed_at]]="",payments[[#This Row],[completed_at]]=0),"",TEXT(payments[[#This Row],[completed_at]],"yyyy-mm"))</f>
        <v>2026-04</v>
      </c>
    </row>
    <row r="187" spans="1:17">
      <c r="A187">
        <v>171</v>
      </c>
      <c r="B187">
        <v>456</v>
      </c>
      <c r="C187">
        <v>3</v>
      </c>
      <c r="D187" s="3">
        <v>46201.3562037037</v>
      </c>
      <c r="E187" s="3">
        <v>46201.3563194444</v>
      </c>
      <c r="F187" t="s">
        <v>25</v>
      </c>
      <c r="G187">
        <v>19.99</v>
      </c>
      <c r="H187">
        <v>600</v>
      </c>
      <c r="I187" s="4" t="str">
        <f>_xlfn.XLOOKUP(B187,users!A:A,users!C:C)</f>
        <v>US</v>
      </c>
      <c r="J187" s="4" t="str">
        <f>_xlfn.XLOOKUP(B187,users!A:A,users!D:D)</f>
        <v>tablet</v>
      </c>
      <c r="K187" s="4" t="str">
        <f>_xlfn.XLOOKUP(C187,coin_packages!A:A,coin_packages!B:B)</f>
        <v>Large</v>
      </c>
      <c r="L187" s="4" t="str">
        <f t="array" ref="L187">INDEX(coin_packages!$B$2:$B$5,MATCH(C187,coin_packages!$A$2:$A$5,0))</f>
        <v>Large</v>
      </c>
      <c r="M187" s="4">
        <f t="shared" si="4"/>
        <v>19.99</v>
      </c>
      <c r="N187" s="4" t="b">
        <f t="shared" si="5"/>
        <v>1</v>
      </c>
      <c r="O187" s="4" t="b">
        <f>COUNTIF(refunds!$B$2:$B$15,A187)&gt;0</f>
        <v>0</v>
      </c>
      <c r="P187" s="4">
        <f>_xlfn.XLOOKUP(A187,refunds!$B$2:$B$15,refunds!$D$2:$D$15,0,0)</f>
        <v>0</v>
      </c>
      <c r="Q187" s="4" t="str">
        <f>IF(OR(payments[[#This Row],[completed_at]]="",payments[[#This Row],[completed_at]]=0),"",TEXT(payments[[#This Row],[completed_at]],"yyyy-mm"))</f>
        <v>2026-06</v>
      </c>
    </row>
    <row r="188" spans="1:17">
      <c r="A188">
        <v>172</v>
      </c>
      <c r="B188">
        <v>459</v>
      </c>
      <c r="C188">
        <v>1</v>
      </c>
      <c r="D188" s="3">
        <v>46189.5177083333</v>
      </c>
      <c r="E188" s="3">
        <v>46189.5178240741</v>
      </c>
      <c r="F188" t="s">
        <v>25</v>
      </c>
      <c r="G188">
        <v>4.99</v>
      </c>
      <c r="H188">
        <v>100</v>
      </c>
      <c r="I188" s="4" t="str">
        <f>_xlfn.XLOOKUP(B188,users!A:A,users!C:C)</f>
        <v>BR</v>
      </c>
      <c r="J188" s="4" t="str">
        <f>_xlfn.XLOOKUP(B188,users!A:A,users!D:D)</f>
        <v>mobile</v>
      </c>
      <c r="K188" s="4" t="str">
        <f>_xlfn.XLOOKUP(C188,coin_packages!A:A,coin_packages!B:B)</f>
        <v>Small</v>
      </c>
      <c r="L188" s="4" t="str">
        <f t="array" ref="L188">INDEX(coin_packages!$B$2:$B$5,MATCH(C188,coin_packages!$A$2:$A$5,0))</f>
        <v>Small</v>
      </c>
      <c r="M188" s="4">
        <f t="shared" si="4"/>
        <v>4.99</v>
      </c>
      <c r="N188" s="4" t="b">
        <f t="shared" si="5"/>
        <v>0</v>
      </c>
      <c r="O188" s="4" t="b">
        <f>COUNTIF(refunds!$B$2:$B$15,A188)&gt;0</f>
        <v>0</v>
      </c>
      <c r="P188" s="4">
        <f>_xlfn.XLOOKUP(A188,refunds!$B$2:$B$15,refunds!$D$2:$D$15,0,0)</f>
        <v>0</v>
      </c>
      <c r="Q188" s="4" t="str">
        <f>IF(OR(payments[[#This Row],[completed_at]]="",payments[[#This Row],[completed_at]]=0),"",TEXT(payments[[#This Row],[completed_at]],"yyyy-mm"))</f>
        <v>2026-06</v>
      </c>
    </row>
    <row r="189" spans="1:17">
      <c r="A189">
        <v>173</v>
      </c>
      <c r="B189">
        <v>462</v>
      </c>
      <c r="C189">
        <v>1</v>
      </c>
      <c r="D189" s="3">
        <v>46093.8507638889</v>
      </c>
      <c r="E189" s="3">
        <v>46093.8508796296</v>
      </c>
      <c r="F189" t="s">
        <v>25</v>
      </c>
      <c r="G189">
        <v>4.99</v>
      </c>
      <c r="H189">
        <v>100</v>
      </c>
      <c r="I189" s="4" t="str">
        <f>_xlfn.XLOOKUP(B189,users!A:A,users!C:C)</f>
        <v>GB</v>
      </c>
      <c r="J189" s="4" t="str">
        <f>_xlfn.XLOOKUP(B189,users!A:A,users!D:D)</f>
        <v>tablet</v>
      </c>
      <c r="K189" s="4" t="str">
        <f>_xlfn.XLOOKUP(C189,coin_packages!A:A,coin_packages!B:B)</f>
        <v>Small</v>
      </c>
      <c r="L189" s="4" t="str">
        <f t="array" ref="L189">INDEX(coin_packages!$B$2:$B$5,MATCH(C189,coin_packages!$A$2:$A$5,0))</f>
        <v>Small</v>
      </c>
      <c r="M189" s="4">
        <f t="shared" si="4"/>
        <v>4.99</v>
      </c>
      <c r="N189" s="4" t="b">
        <f t="shared" si="5"/>
        <v>0</v>
      </c>
      <c r="O189" s="4" t="b">
        <f>COUNTIF(refunds!$B$2:$B$15,A189)&gt;0</f>
        <v>0</v>
      </c>
      <c r="P189" s="4">
        <f>_xlfn.XLOOKUP(A189,refunds!$B$2:$B$15,refunds!$D$2:$D$15,0,0)</f>
        <v>0</v>
      </c>
      <c r="Q189" s="4" t="str">
        <f>IF(OR(payments[[#This Row],[completed_at]]="",payments[[#This Row],[completed_at]]=0),"",TEXT(payments[[#This Row],[completed_at]],"yyyy-mm"))</f>
        <v>2026-03</v>
      </c>
    </row>
    <row r="190" spans="1:17">
      <c r="A190">
        <v>174</v>
      </c>
      <c r="B190">
        <v>466</v>
      </c>
      <c r="C190">
        <v>1</v>
      </c>
      <c r="D190" s="3">
        <v>46199.3963078704</v>
      </c>
      <c r="E190" s="3">
        <v>46199.3964236111</v>
      </c>
      <c r="F190" t="s">
        <v>25</v>
      </c>
      <c r="G190">
        <v>4.99</v>
      </c>
      <c r="H190">
        <v>100</v>
      </c>
      <c r="I190" s="4" t="str">
        <f>_xlfn.XLOOKUP(B190,users!A:A,users!C:C)</f>
        <v>UA</v>
      </c>
      <c r="J190" s="4" t="str">
        <f>_xlfn.XLOOKUP(B190,users!A:A,users!D:D)</f>
        <v>mobile</v>
      </c>
      <c r="K190" s="4" t="str">
        <f>_xlfn.XLOOKUP(C190,coin_packages!A:A,coin_packages!B:B)</f>
        <v>Small</v>
      </c>
      <c r="L190" s="4" t="str">
        <f t="array" ref="L190">INDEX(coin_packages!$B$2:$B$5,MATCH(C190,coin_packages!$A$2:$A$5,0))</f>
        <v>Small</v>
      </c>
      <c r="M190" s="4">
        <f t="shared" si="4"/>
        <v>4.99</v>
      </c>
      <c r="N190" s="4" t="b">
        <f t="shared" si="5"/>
        <v>0</v>
      </c>
      <c r="O190" s="4" t="b">
        <f>COUNTIF(refunds!$B$2:$B$15,A190)&gt;0</f>
        <v>0</v>
      </c>
      <c r="P190" s="4">
        <f>_xlfn.XLOOKUP(A190,refunds!$B$2:$B$15,refunds!$D$2:$D$15,0,0)</f>
        <v>0</v>
      </c>
      <c r="Q190" s="4" t="str">
        <f>IF(OR(payments[[#This Row],[completed_at]]="",payments[[#This Row],[completed_at]]=0),"",TEXT(payments[[#This Row],[completed_at]],"yyyy-mm"))</f>
        <v>2026-06</v>
      </c>
    </row>
    <row r="191" spans="1:17">
      <c r="A191">
        <v>175</v>
      </c>
      <c r="B191">
        <v>469</v>
      </c>
      <c r="C191">
        <v>2</v>
      </c>
      <c r="D191" s="3">
        <v>46180.1868287037</v>
      </c>
      <c r="E191" s="3">
        <v>46180.1869444444</v>
      </c>
      <c r="F191" t="s">
        <v>25</v>
      </c>
      <c r="G191">
        <v>7.99</v>
      </c>
      <c r="H191">
        <v>250</v>
      </c>
      <c r="I191" s="4" t="str">
        <f>_xlfn.XLOOKUP(B191,users!A:A,users!C:C)</f>
        <v>US</v>
      </c>
      <c r="J191" s="4" t="str">
        <f>_xlfn.XLOOKUP(B191,users!A:A,users!D:D)</f>
        <v>mobile</v>
      </c>
      <c r="K191" s="4" t="str">
        <f>_xlfn.XLOOKUP(C191,coin_packages!A:A,coin_packages!B:B)</f>
        <v>Medium</v>
      </c>
      <c r="L191" s="4" t="str">
        <f t="array" ref="L191">INDEX(coin_packages!$B$2:$B$5,MATCH(C191,coin_packages!$A$2:$A$5,0))</f>
        <v>Medium</v>
      </c>
      <c r="M191" s="4">
        <f t="shared" si="4"/>
        <v>7.99</v>
      </c>
      <c r="N191" s="4" t="b">
        <f t="shared" si="5"/>
        <v>1</v>
      </c>
      <c r="O191" s="4" t="b">
        <f>COUNTIF(refunds!$B$2:$B$15,A191)&gt;0</f>
        <v>0</v>
      </c>
      <c r="P191" s="4">
        <f>_xlfn.XLOOKUP(A191,refunds!$B$2:$B$15,refunds!$D$2:$D$15,0,0)</f>
        <v>0</v>
      </c>
      <c r="Q191" s="4" t="str">
        <f>IF(OR(payments[[#This Row],[completed_at]]="",payments[[#This Row],[completed_at]]=0),"",TEXT(payments[[#This Row],[completed_at]],"yyyy-mm"))</f>
        <v>2026-06</v>
      </c>
    </row>
    <row r="192" spans="1:17">
      <c r="A192">
        <v>176</v>
      </c>
      <c r="B192">
        <v>471</v>
      </c>
      <c r="C192">
        <v>2</v>
      </c>
      <c r="D192" s="3">
        <v>46133.5681481482</v>
      </c>
      <c r="E192" s="3">
        <v>46133.5682638889</v>
      </c>
      <c r="F192" t="s">
        <v>25</v>
      </c>
      <c r="G192">
        <v>9.99</v>
      </c>
      <c r="H192">
        <v>250</v>
      </c>
      <c r="I192" s="4" t="str">
        <f>_xlfn.XLOOKUP(B192,users!A:A,users!C:C)</f>
        <v>US</v>
      </c>
      <c r="J192" s="4" t="str">
        <f>_xlfn.XLOOKUP(B192,users!A:A,users!D:D)</f>
        <v>tablet</v>
      </c>
      <c r="K192" s="4" t="str">
        <f>_xlfn.XLOOKUP(C192,coin_packages!A:A,coin_packages!B:B)</f>
        <v>Medium</v>
      </c>
      <c r="L192" s="4" t="str">
        <f t="array" ref="L192">INDEX(coin_packages!$B$2:$B$5,MATCH(C192,coin_packages!$A$2:$A$5,0))</f>
        <v>Medium</v>
      </c>
      <c r="M192" s="4">
        <f t="shared" si="4"/>
        <v>9.99</v>
      </c>
      <c r="N192" s="4" t="b">
        <f t="shared" si="5"/>
        <v>1</v>
      </c>
      <c r="O192" s="4" t="b">
        <f>COUNTIF(refunds!$B$2:$B$15,A192)&gt;0</f>
        <v>0</v>
      </c>
      <c r="P192" s="4">
        <f>_xlfn.XLOOKUP(A192,refunds!$B$2:$B$15,refunds!$D$2:$D$15,0,0)</f>
        <v>0</v>
      </c>
      <c r="Q192" s="4" t="str">
        <f>IF(OR(payments[[#This Row],[completed_at]]="",payments[[#This Row],[completed_at]]=0),"",TEXT(payments[[#This Row],[completed_at]],"yyyy-mm"))</f>
        <v>2026-04</v>
      </c>
    </row>
    <row r="193" spans="1:17">
      <c r="A193">
        <v>177</v>
      </c>
      <c r="B193">
        <v>479</v>
      </c>
      <c r="C193">
        <v>2</v>
      </c>
      <c r="D193" s="3">
        <v>46126.9201851852</v>
      </c>
      <c r="E193" s="3">
        <v>46126.9203009259</v>
      </c>
      <c r="F193" t="s">
        <v>25</v>
      </c>
      <c r="G193">
        <v>7.99</v>
      </c>
      <c r="H193">
        <v>250</v>
      </c>
      <c r="I193" s="4" t="str">
        <f>_xlfn.XLOOKUP(B193,users!A:A,users!C:C)</f>
        <v>BR</v>
      </c>
      <c r="J193" s="4" t="str">
        <f>_xlfn.XLOOKUP(B193,users!A:A,users!D:D)</f>
        <v>tablet</v>
      </c>
      <c r="K193" s="4" t="str">
        <f>_xlfn.XLOOKUP(C193,coin_packages!A:A,coin_packages!B:B)</f>
        <v>Medium</v>
      </c>
      <c r="L193" s="4" t="str">
        <f t="array" ref="L193">INDEX(coin_packages!$B$2:$B$5,MATCH(C193,coin_packages!$A$2:$A$5,0))</f>
        <v>Medium</v>
      </c>
      <c r="M193" s="4">
        <f t="shared" si="4"/>
        <v>7.99</v>
      </c>
      <c r="N193" s="4" t="b">
        <f t="shared" si="5"/>
        <v>0</v>
      </c>
      <c r="O193" s="4" t="b">
        <f>COUNTIF(refunds!$B$2:$B$15,A193)&gt;0</f>
        <v>0</v>
      </c>
      <c r="P193" s="4">
        <f>_xlfn.XLOOKUP(A193,refunds!$B$2:$B$15,refunds!$D$2:$D$15,0,0)</f>
        <v>0</v>
      </c>
      <c r="Q193" s="4" t="str">
        <f>IF(OR(payments[[#This Row],[completed_at]]="",payments[[#This Row],[completed_at]]=0),"",TEXT(payments[[#This Row],[completed_at]],"yyyy-mm"))</f>
        <v>2026-04</v>
      </c>
    </row>
    <row r="194" spans="1:17">
      <c r="A194">
        <v>179</v>
      </c>
      <c r="B194">
        <v>482</v>
      </c>
      <c r="C194">
        <v>2</v>
      </c>
      <c r="D194" s="3">
        <v>46158.0250115741</v>
      </c>
      <c r="E194" s="3">
        <v>46158.0251273148</v>
      </c>
      <c r="F194" t="s">
        <v>25</v>
      </c>
      <c r="G194">
        <v>9.99</v>
      </c>
      <c r="H194">
        <v>250</v>
      </c>
      <c r="I194" s="4" t="str">
        <f>_xlfn.XLOOKUP(B194,users!A:A,users!C:C)</f>
        <v>US</v>
      </c>
      <c r="J194" s="4" t="str">
        <f>_xlfn.XLOOKUP(B194,users!A:A,users!D:D)</f>
        <v>mobile</v>
      </c>
      <c r="K194" s="4" t="str">
        <f>_xlfn.XLOOKUP(C194,coin_packages!A:A,coin_packages!B:B)</f>
        <v>Medium</v>
      </c>
      <c r="L194" s="4" t="str">
        <f t="array" ref="L194">INDEX(coin_packages!$B$2:$B$5,MATCH(C194,coin_packages!$A$2:$A$5,0))</f>
        <v>Medium</v>
      </c>
      <c r="M194" s="4">
        <f t="shared" ref="M194:M203" si="6">IF(F194="succeeded",G194,0)</f>
        <v>9.99</v>
      </c>
      <c r="N194" s="4" t="b">
        <f t="shared" ref="N194:N203" si="7">AND(F194="succeeded",I194="US",OR(J194="tablet",J194="mobile"))</f>
        <v>1</v>
      </c>
      <c r="O194" s="4" t="b">
        <f>COUNTIF(refunds!$B$2:$B$15,A194)&gt;0</f>
        <v>0</v>
      </c>
      <c r="P194" s="4">
        <f>_xlfn.XLOOKUP(A194,refunds!$B$2:$B$15,refunds!$D$2:$D$15,0,0)</f>
        <v>0</v>
      </c>
      <c r="Q194" s="4" t="str">
        <f>IF(OR(payments[[#This Row],[completed_at]]="",payments[[#This Row],[completed_at]]=0),"",TEXT(payments[[#This Row],[completed_at]],"yyyy-mm"))</f>
        <v>2026-05</v>
      </c>
    </row>
    <row r="195" spans="1:17">
      <c r="A195">
        <v>178</v>
      </c>
      <c r="B195">
        <v>482</v>
      </c>
      <c r="C195">
        <v>3</v>
      </c>
      <c r="D195" s="3">
        <v>46154.2825694444</v>
      </c>
      <c r="F195" t="s">
        <v>56</v>
      </c>
      <c r="G195">
        <v>19.99</v>
      </c>
      <c r="H195">
        <v>0</v>
      </c>
      <c r="I195" s="4" t="str">
        <f>_xlfn.XLOOKUP(B195,users!A:A,users!C:C)</f>
        <v>US</v>
      </c>
      <c r="J195" s="4" t="str">
        <f>_xlfn.XLOOKUP(B195,users!A:A,users!D:D)</f>
        <v>mobile</v>
      </c>
      <c r="K195" s="4" t="str">
        <f>_xlfn.XLOOKUP(C195,coin_packages!A:A,coin_packages!B:B)</f>
        <v>Large</v>
      </c>
      <c r="L195" s="4" t="str">
        <f t="array" ref="L195">INDEX(coin_packages!$B$2:$B$5,MATCH(C195,coin_packages!$A$2:$A$5,0))</f>
        <v>Large</v>
      </c>
      <c r="M195" s="4">
        <f t="shared" si="6"/>
        <v>0</v>
      </c>
      <c r="N195" s="4" t="b">
        <f t="shared" si="7"/>
        <v>0</v>
      </c>
      <c r="O195" s="4" t="b">
        <f>COUNTIF(refunds!$B$2:$B$15,A195)&gt;0</f>
        <v>0</v>
      </c>
      <c r="P195" s="4">
        <f>_xlfn.XLOOKUP(A195,refunds!$B$2:$B$15,refunds!$D$2:$D$15,0,0)</f>
        <v>0</v>
      </c>
      <c r="Q195" s="4" t="str">
        <f>IF(OR(payments[[#This Row],[completed_at]]="",payments[[#This Row],[completed_at]]=0),"",TEXT(payments[[#This Row],[completed_at]],"yyyy-mm"))</f>
        <v/>
      </c>
    </row>
    <row r="196" spans="1:17">
      <c r="A196">
        <v>180</v>
      </c>
      <c r="B196">
        <v>487</v>
      </c>
      <c r="C196">
        <v>1</v>
      </c>
      <c r="D196" s="3">
        <v>46193.3730555556</v>
      </c>
      <c r="E196" s="3">
        <v>46193.3731712963</v>
      </c>
      <c r="F196" t="s">
        <v>25</v>
      </c>
      <c r="G196">
        <v>4.99</v>
      </c>
      <c r="H196">
        <v>100</v>
      </c>
      <c r="I196" s="4" t="str">
        <f>_xlfn.XLOOKUP(B196,users!A:A,users!C:C)</f>
        <v>US</v>
      </c>
      <c r="J196" s="4" t="str">
        <f>_xlfn.XLOOKUP(B196,users!A:A,users!D:D)</f>
        <v>mobile</v>
      </c>
      <c r="K196" s="4" t="str">
        <f>_xlfn.XLOOKUP(C196,coin_packages!A:A,coin_packages!B:B)</f>
        <v>Small</v>
      </c>
      <c r="L196" s="4" t="str">
        <f t="array" ref="L196">INDEX(coin_packages!$B$2:$B$5,MATCH(C196,coin_packages!$A$2:$A$5,0))</f>
        <v>Small</v>
      </c>
      <c r="M196" s="4">
        <f t="shared" si="6"/>
        <v>4.99</v>
      </c>
      <c r="N196" s="4" t="b">
        <f t="shared" si="7"/>
        <v>1</v>
      </c>
      <c r="O196" s="4" t="b">
        <f>COUNTIF(refunds!$B$2:$B$15,A196)&gt;0</f>
        <v>0</v>
      </c>
      <c r="P196" s="4">
        <f>_xlfn.XLOOKUP(A196,refunds!$B$2:$B$15,refunds!$D$2:$D$15,0,0)</f>
        <v>0</v>
      </c>
      <c r="Q196" s="4" t="str">
        <f>IF(OR(payments[[#This Row],[completed_at]]="",payments[[#This Row],[completed_at]]=0),"",TEXT(payments[[#This Row],[completed_at]],"yyyy-mm"))</f>
        <v>2026-06</v>
      </c>
    </row>
    <row r="197" spans="1:17">
      <c r="A197">
        <v>182</v>
      </c>
      <c r="B197">
        <v>489</v>
      </c>
      <c r="C197">
        <v>2</v>
      </c>
      <c r="D197" s="3">
        <v>46149.3120486111</v>
      </c>
      <c r="E197" s="3">
        <v>46149.3121643519</v>
      </c>
      <c r="F197" t="s">
        <v>25</v>
      </c>
      <c r="G197">
        <v>9.99</v>
      </c>
      <c r="H197">
        <v>250</v>
      </c>
      <c r="I197" s="4" t="str">
        <f>_xlfn.XLOOKUP(B197,users!A:A,users!C:C)</f>
        <v>DE</v>
      </c>
      <c r="J197" s="4" t="str">
        <f>_xlfn.XLOOKUP(B197,users!A:A,users!D:D)</f>
        <v>tablet</v>
      </c>
      <c r="K197" s="4" t="str">
        <f>_xlfn.XLOOKUP(C197,coin_packages!A:A,coin_packages!B:B)</f>
        <v>Medium</v>
      </c>
      <c r="L197" s="4" t="str">
        <f t="array" ref="L197">INDEX(coin_packages!$B$2:$B$5,MATCH(C197,coin_packages!$A$2:$A$5,0))</f>
        <v>Medium</v>
      </c>
      <c r="M197" s="4">
        <f t="shared" si="6"/>
        <v>9.99</v>
      </c>
      <c r="N197" s="4" t="b">
        <f t="shared" si="7"/>
        <v>0</v>
      </c>
      <c r="O197" s="4" t="b">
        <f>COUNTIF(refunds!$B$2:$B$15,A197)&gt;0</f>
        <v>0</v>
      </c>
      <c r="P197" s="4">
        <f>_xlfn.XLOOKUP(A197,refunds!$B$2:$B$15,refunds!$D$2:$D$15,0,0)</f>
        <v>0</v>
      </c>
      <c r="Q197" s="4" t="str">
        <f>IF(OR(payments[[#This Row],[completed_at]]="",payments[[#This Row],[completed_at]]=0),"",TEXT(payments[[#This Row],[completed_at]],"yyyy-mm"))</f>
        <v>2026-05</v>
      </c>
    </row>
    <row r="198" spans="1:17">
      <c r="A198">
        <v>181</v>
      </c>
      <c r="B198">
        <v>489</v>
      </c>
      <c r="C198">
        <v>3</v>
      </c>
      <c r="D198" s="3">
        <v>46146.2769097222</v>
      </c>
      <c r="F198" t="s">
        <v>56</v>
      </c>
      <c r="G198">
        <v>19.99</v>
      </c>
      <c r="H198">
        <v>0</v>
      </c>
      <c r="I198" s="4" t="str">
        <f>_xlfn.XLOOKUP(B198,users!A:A,users!C:C)</f>
        <v>DE</v>
      </c>
      <c r="J198" s="4" t="str">
        <f>_xlfn.XLOOKUP(B198,users!A:A,users!D:D)</f>
        <v>tablet</v>
      </c>
      <c r="K198" s="4" t="str">
        <f>_xlfn.XLOOKUP(C198,coin_packages!A:A,coin_packages!B:B)</f>
        <v>Large</v>
      </c>
      <c r="L198" s="4" t="str">
        <f t="array" ref="L198">INDEX(coin_packages!$B$2:$B$5,MATCH(C198,coin_packages!$A$2:$A$5,0))</f>
        <v>Large</v>
      </c>
      <c r="M198" s="4">
        <f t="shared" si="6"/>
        <v>0</v>
      </c>
      <c r="N198" s="4" t="b">
        <f t="shared" si="7"/>
        <v>0</v>
      </c>
      <c r="O198" s="4" t="b">
        <f>COUNTIF(refunds!$B$2:$B$15,A198)&gt;0</f>
        <v>0</v>
      </c>
      <c r="P198" s="4">
        <f>_xlfn.XLOOKUP(A198,refunds!$B$2:$B$15,refunds!$D$2:$D$15,0,0)</f>
        <v>0</v>
      </c>
      <c r="Q198" s="4" t="str">
        <f>IF(OR(payments[[#This Row],[completed_at]]="",payments[[#This Row],[completed_at]]=0),"",TEXT(payments[[#This Row],[completed_at]],"yyyy-mm"))</f>
        <v/>
      </c>
    </row>
    <row r="199" spans="1:17">
      <c r="A199">
        <v>184</v>
      </c>
      <c r="B199">
        <v>491</v>
      </c>
      <c r="C199">
        <v>2</v>
      </c>
      <c r="D199" s="3">
        <v>46139.7337615741</v>
      </c>
      <c r="E199" s="3">
        <v>46139.7338773148</v>
      </c>
      <c r="F199" t="s">
        <v>25</v>
      </c>
      <c r="G199">
        <v>9.99</v>
      </c>
      <c r="H199">
        <v>250</v>
      </c>
      <c r="I199" s="4" t="str">
        <f>_xlfn.XLOOKUP(B199,users!A:A,users!C:C)</f>
        <v>US</v>
      </c>
      <c r="J199" s="4" t="str">
        <f>_xlfn.XLOOKUP(B199,users!A:A,users!D:D)</f>
        <v>desktop</v>
      </c>
      <c r="K199" s="4" t="str">
        <f>_xlfn.XLOOKUP(C199,coin_packages!A:A,coin_packages!B:B)</f>
        <v>Medium</v>
      </c>
      <c r="L199" s="4" t="str">
        <f t="array" ref="L199">INDEX(coin_packages!$B$2:$B$5,MATCH(C199,coin_packages!$A$2:$A$5,0))</f>
        <v>Medium</v>
      </c>
      <c r="M199" s="4">
        <f t="shared" si="6"/>
        <v>9.99</v>
      </c>
      <c r="N199" s="4" t="b">
        <f t="shared" si="7"/>
        <v>0</v>
      </c>
      <c r="O199" s="4" t="b">
        <f>COUNTIF(refunds!$B$2:$B$15,A199)&gt;0</f>
        <v>0</v>
      </c>
      <c r="P199" s="4">
        <f>_xlfn.XLOOKUP(A199,refunds!$B$2:$B$15,refunds!$D$2:$D$15,0,0)</f>
        <v>0</v>
      </c>
      <c r="Q199" s="4" t="str">
        <f>IF(OR(payments[[#This Row],[completed_at]]="",payments[[#This Row],[completed_at]]=0),"",TEXT(payments[[#This Row],[completed_at]],"yyyy-mm"))</f>
        <v>2026-04</v>
      </c>
    </row>
    <row r="200" spans="1:17">
      <c r="A200">
        <v>183</v>
      </c>
      <c r="B200">
        <v>491</v>
      </c>
      <c r="C200">
        <v>1</v>
      </c>
      <c r="D200" s="3">
        <v>46138.8873726852</v>
      </c>
      <c r="F200" t="s">
        <v>56</v>
      </c>
      <c r="G200">
        <v>4.99</v>
      </c>
      <c r="H200">
        <v>0</v>
      </c>
      <c r="I200" s="4" t="str">
        <f>_xlfn.XLOOKUP(B200,users!A:A,users!C:C)</f>
        <v>US</v>
      </c>
      <c r="J200" s="4" t="str">
        <f>_xlfn.XLOOKUP(B200,users!A:A,users!D:D)</f>
        <v>desktop</v>
      </c>
      <c r="K200" s="4" t="str">
        <f>_xlfn.XLOOKUP(C200,coin_packages!A:A,coin_packages!B:B)</f>
        <v>Small</v>
      </c>
      <c r="L200" s="4" t="str">
        <f t="array" ref="L200">INDEX(coin_packages!$B$2:$B$5,MATCH(C200,coin_packages!$A$2:$A$5,0))</f>
        <v>Small</v>
      </c>
      <c r="M200" s="4">
        <f t="shared" si="6"/>
        <v>0</v>
      </c>
      <c r="N200" s="4" t="b">
        <f t="shared" si="7"/>
        <v>0</v>
      </c>
      <c r="O200" s="4" t="b">
        <f>COUNTIF(refunds!$B$2:$B$15,A200)&gt;0</f>
        <v>0</v>
      </c>
      <c r="P200" s="4">
        <f>_xlfn.XLOOKUP(A200,refunds!$B$2:$B$15,refunds!$D$2:$D$15,0,0)</f>
        <v>0</v>
      </c>
      <c r="Q200" s="4" t="str">
        <f>IF(OR(payments[[#This Row],[completed_at]]="",payments[[#This Row],[completed_at]]=0),"",TEXT(payments[[#This Row],[completed_at]],"yyyy-mm"))</f>
        <v/>
      </c>
    </row>
    <row r="201" spans="1:17">
      <c r="A201">
        <v>185</v>
      </c>
      <c r="B201">
        <v>493</v>
      </c>
      <c r="C201">
        <v>1</v>
      </c>
      <c r="D201" s="3">
        <v>46160.3560069444</v>
      </c>
      <c r="E201" s="3">
        <v>46160.3561226852</v>
      </c>
      <c r="F201" t="s">
        <v>25</v>
      </c>
      <c r="G201">
        <v>4.99</v>
      </c>
      <c r="H201">
        <v>100</v>
      </c>
      <c r="I201" s="4" t="str">
        <f>_xlfn.XLOOKUP(B201,users!A:A,users!C:C)</f>
        <v>US</v>
      </c>
      <c r="J201" s="4" t="str">
        <f>_xlfn.XLOOKUP(B201,users!A:A,users!D:D)</f>
        <v>desktop</v>
      </c>
      <c r="K201" s="4" t="str">
        <f>_xlfn.XLOOKUP(C201,coin_packages!A:A,coin_packages!B:B)</f>
        <v>Small</v>
      </c>
      <c r="L201" s="4" t="str">
        <f t="array" ref="L201">INDEX(coin_packages!$B$2:$B$5,MATCH(C201,coin_packages!$A$2:$A$5,0))</f>
        <v>Small</v>
      </c>
      <c r="M201" s="4">
        <f t="shared" si="6"/>
        <v>4.99</v>
      </c>
      <c r="N201" s="4" t="b">
        <f t="shared" si="7"/>
        <v>0</v>
      </c>
      <c r="O201" s="4" t="b">
        <f>COUNTIF(refunds!$B$2:$B$15,A201)&gt;0</f>
        <v>0</v>
      </c>
      <c r="P201" s="4">
        <f>_xlfn.XLOOKUP(A201,refunds!$B$2:$B$15,refunds!$D$2:$D$15,0,0)</f>
        <v>0</v>
      </c>
      <c r="Q201" s="4" t="str">
        <f>IF(OR(payments[[#This Row],[completed_at]]="",payments[[#This Row],[completed_at]]=0),"",TEXT(payments[[#This Row],[completed_at]],"yyyy-mm"))</f>
        <v>2026-05</v>
      </c>
    </row>
    <row r="202" spans="1:17">
      <c r="A202">
        <v>186</v>
      </c>
      <c r="B202">
        <v>499</v>
      </c>
      <c r="C202">
        <v>3</v>
      </c>
      <c r="D202" s="3">
        <v>46193.454212963</v>
      </c>
      <c r="E202" s="3">
        <v>46193.4543287037</v>
      </c>
      <c r="F202" t="s">
        <v>25</v>
      </c>
      <c r="G202">
        <v>19.99</v>
      </c>
      <c r="H202">
        <v>600</v>
      </c>
      <c r="I202" s="4" t="str">
        <f>_xlfn.XLOOKUP(B202,users!A:A,users!C:C)</f>
        <v>CA</v>
      </c>
      <c r="J202" s="4" t="str">
        <f>_xlfn.XLOOKUP(B202,users!A:A,users!D:D)</f>
        <v>mobile</v>
      </c>
      <c r="K202" s="4" t="str">
        <f>_xlfn.XLOOKUP(C202,coin_packages!A:A,coin_packages!B:B)</f>
        <v>Large</v>
      </c>
      <c r="L202" s="4" t="str">
        <f t="array" ref="L202">INDEX(coin_packages!$B$2:$B$5,MATCH(C202,coin_packages!$A$2:$A$5,0))</f>
        <v>Large</v>
      </c>
      <c r="M202" s="4">
        <f t="shared" si="6"/>
        <v>19.99</v>
      </c>
      <c r="N202" s="4" t="b">
        <f t="shared" si="7"/>
        <v>0</v>
      </c>
      <c r="O202" s="4" t="b">
        <f>COUNTIF(refunds!$B$2:$B$15,A202)&gt;0</f>
        <v>0</v>
      </c>
      <c r="P202" s="4">
        <f>_xlfn.XLOOKUP(A202,refunds!$B$2:$B$15,refunds!$D$2:$D$15,0,0)</f>
        <v>0</v>
      </c>
      <c r="Q202" s="4" t="str">
        <f>IF(OR(payments[[#This Row],[completed_at]]="",payments[[#This Row],[completed_at]]=0),"",TEXT(payments[[#This Row],[completed_at]],"yyyy-mm"))</f>
        <v>2026-06</v>
      </c>
    </row>
    <row r="203" spans="1:17">
      <c r="A203">
        <v>187</v>
      </c>
      <c r="B203">
        <v>500</v>
      </c>
      <c r="C203">
        <v>1</v>
      </c>
      <c r="D203" s="3">
        <v>46133.2218634259</v>
      </c>
      <c r="E203" s="3">
        <v>46133.2219791667</v>
      </c>
      <c r="F203" t="s">
        <v>25</v>
      </c>
      <c r="G203">
        <v>4.99</v>
      </c>
      <c r="H203">
        <v>100</v>
      </c>
      <c r="I203" s="4" t="str">
        <f>_xlfn.XLOOKUP(B203,users!A:A,users!C:C)</f>
        <v>CA</v>
      </c>
      <c r="J203" s="4" t="str">
        <f>_xlfn.XLOOKUP(B203,users!A:A,users!D:D)</f>
        <v>tablet</v>
      </c>
      <c r="K203" s="4" t="str">
        <f>_xlfn.XLOOKUP(C203,coin_packages!A:A,coin_packages!B:B)</f>
        <v>Small</v>
      </c>
      <c r="L203" s="4" t="str">
        <f t="array" ref="L203">INDEX(coin_packages!$B$2:$B$5,MATCH(C203,coin_packages!$A$2:$A$5,0))</f>
        <v>Small</v>
      </c>
      <c r="M203" s="4">
        <f t="shared" si="6"/>
        <v>4.99</v>
      </c>
      <c r="N203" s="4" t="b">
        <f t="shared" si="7"/>
        <v>0</v>
      </c>
      <c r="O203" s="4" t="b">
        <f>COUNTIF(refunds!$B$2:$B$15,A203)&gt;0</f>
        <v>0</v>
      </c>
      <c r="P203" s="4">
        <f>_xlfn.XLOOKUP(A203,refunds!$B$2:$B$15,refunds!$D$2:$D$15,0,0)</f>
        <v>0</v>
      </c>
      <c r="Q203" s="4" t="str">
        <f>IF(OR(payments[[#This Row],[completed_at]]="",payments[[#This Row],[completed_at]]=0),"",TEXT(payments[[#This Row],[completed_at]],"yyyy-mm"))</f>
        <v>2026-04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I5" sqref="I5"/>
    </sheetView>
  </sheetViews>
  <sheetFormatPr defaultColWidth="8.88888888888889" defaultRowHeight="14.4" outlineLevelCol="7"/>
  <cols>
    <col min="1" max="7" width="19.8888888888889" customWidth="1"/>
  </cols>
  <sheetData>
    <row r="1" spans="1:8">
      <c r="A1" t="s">
        <v>57</v>
      </c>
      <c r="B1" t="s">
        <v>44</v>
      </c>
      <c r="C1" t="s">
        <v>58</v>
      </c>
      <c r="D1" t="s">
        <v>48</v>
      </c>
      <c r="E1" t="s">
        <v>59</v>
      </c>
      <c r="F1" t="s">
        <v>60</v>
      </c>
      <c r="G1" t="s">
        <v>36</v>
      </c>
      <c r="H1" t="s">
        <v>34</v>
      </c>
    </row>
    <row r="2" spans="1:8">
      <c r="A2">
        <v>1</v>
      </c>
      <c r="B2">
        <v>9</v>
      </c>
      <c r="C2" s="3">
        <v>46136.8754861111</v>
      </c>
      <c r="D2">
        <v>9.99</v>
      </c>
      <c r="E2">
        <v>250</v>
      </c>
      <c r="F2" t="s">
        <v>61</v>
      </c>
      <c r="G2" s="4">
        <f>_xlfn.XLOOKUP(B2,payments!$A$2:$A$203,payments!$B$2:$B$203)</f>
        <v>49</v>
      </c>
      <c r="H2" s="4" t="str">
        <f>IF(OR(refunds[[#This Row],[refunded_at]]="",refunds[[#This Row],[refunded_at]]=0),"",TEXT(refunds[[#This Row],[refunded_at]],"yyyy-mm"))</f>
        <v>2026-04</v>
      </c>
    </row>
    <row r="3" spans="1:8">
      <c r="A3">
        <v>2</v>
      </c>
      <c r="B3">
        <v>63</v>
      </c>
      <c r="C3" s="3">
        <v>46183.1444212963</v>
      </c>
      <c r="D3">
        <v>9.99</v>
      </c>
      <c r="E3">
        <v>250</v>
      </c>
      <c r="F3" t="s">
        <v>62</v>
      </c>
      <c r="G3" s="4">
        <f>_xlfn.XLOOKUP(B3,payments!$A$2:$A$203,payments!$B$2:$B$203)</f>
        <v>214</v>
      </c>
      <c r="H3" s="4" t="str">
        <f>IF(OR(refunds[[#This Row],[refunded_at]]="",refunds[[#This Row],[refunded_at]]=0),"",TEXT(refunds[[#This Row],[refunded_at]],"yyyy-mm"))</f>
        <v>2026-06</v>
      </c>
    </row>
    <row r="4" spans="1:8">
      <c r="A4">
        <v>3</v>
      </c>
      <c r="B4">
        <v>75</v>
      </c>
      <c r="C4" s="3">
        <v>46142.8824305556</v>
      </c>
      <c r="D4">
        <v>19.99</v>
      </c>
      <c r="E4">
        <v>600</v>
      </c>
      <c r="F4" t="s">
        <v>61</v>
      </c>
      <c r="G4" s="4">
        <f>_xlfn.XLOOKUP(B4,payments!$A$2:$A$203,payments!$B$2:$B$203)</f>
        <v>246</v>
      </c>
      <c r="H4" s="4" t="str">
        <f>IF(OR(refunds[[#This Row],[refunded_at]]="",refunds[[#This Row],[refunded_at]]=0),"",TEXT(refunds[[#This Row],[refunded_at]],"yyyy-mm"))</f>
        <v>2026-04</v>
      </c>
    </row>
    <row r="5" spans="1:8">
      <c r="A5">
        <v>4</v>
      </c>
      <c r="B5">
        <v>81</v>
      </c>
      <c r="C5" s="3">
        <v>46043.9959027778</v>
      </c>
      <c r="D5">
        <v>19.99</v>
      </c>
      <c r="E5">
        <v>600</v>
      </c>
      <c r="F5" t="s">
        <v>62</v>
      </c>
      <c r="G5" s="4">
        <f>_xlfn.XLOOKUP(B5,payments!$A$2:$A$203,payments!$B$2:$B$203)</f>
        <v>252</v>
      </c>
      <c r="H5" s="4" t="str">
        <f>IF(OR(refunds[[#This Row],[refunded_at]]="",refunds[[#This Row],[refunded_at]]=0),"",TEXT(refunds[[#This Row],[refunded_at]],"yyyy-mm"))</f>
        <v>2026-01</v>
      </c>
    </row>
    <row r="6" spans="1:8">
      <c r="A6">
        <v>5</v>
      </c>
      <c r="B6">
        <v>94</v>
      </c>
      <c r="C6" s="3">
        <v>46104.4594907407</v>
      </c>
      <c r="D6">
        <v>19.99</v>
      </c>
      <c r="E6">
        <v>600</v>
      </c>
      <c r="F6" t="s">
        <v>61</v>
      </c>
      <c r="G6" s="4">
        <f>_xlfn.XLOOKUP(B6,payments!$A$2:$A$203,payments!$B$2:$B$203)</f>
        <v>299</v>
      </c>
      <c r="H6" s="4" t="str">
        <f>IF(OR(refunds[[#This Row],[refunded_at]]="",refunds[[#This Row],[refunded_at]]=0),"",TEXT(refunds[[#This Row],[refunded_at]],"yyyy-mm"))</f>
        <v>2026-03</v>
      </c>
    </row>
    <row r="7" spans="1:8">
      <c r="A7">
        <v>6</v>
      </c>
      <c r="B7">
        <v>95</v>
      </c>
      <c r="C7" s="3">
        <v>46108.7566435185</v>
      </c>
      <c r="D7">
        <v>19.99</v>
      </c>
      <c r="E7">
        <v>600</v>
      </c>
      <c r="F7" t="s">
        <v>62</v>
      </c>
      <c r="G7" s="4">
        <f>_xlfn.XLOOKUP(B7,payments!$A$2:$A$203,payments!$B$2:$B$203)</f>
        <v>299</v>
      </c>
      <c r="H7" s="4" t="str">
        <f>IF(OR(refunds[[#This Row],[refunded_at]]="",refunds[[#This Row],[refunded_at]]=0),"",TEXT(refunds[[#This Row],[refunded_at]],"yyyy-mm"))</f>
        <v>2026-03</v>
      </c>
    </row>
    <row r="8" spans="1:8">
      <c r="A8">
        <v>7</v>
      </c>
      <c r="B8">
        <v>101</v>
      </c>
      <c r="C8" s="3">
        <v>46140.3357986111</v>
      </c>
      <c r="D8">
        <v>4.99</v>
      </c>
      <c r="E8">
        <v>100</v>
      </c>
      <c r="F8" t="s">
        <v>61</v>
      </c>
      <c r="G8" s="4">
        <f>_xlfn.XLOOKUP(B8,payments!$A$2:$A$203,payments!$B$2:$B$203)</f>
        <v>314</v>
      </c>
      <c r="H8" s="4" t="str">
        <f>IF(OR(refunds[[#This Row],[refunded_at]]="",refunds[[#This Row],[refunded_at]]=0),"",TEXT(refunds[[#This Row],[refunded_at]],"yyyy-mm"))</f>
        <v>2026-04</v>
      </c>
    </row>
    <row r="9" spans="1:8">
      <c r="A9">
        <v>8</v>
      </c>
      <c r="B9">
        <v>104</v>
      </c>
      <c r="C9" s="3">
        <v>46154.5311342593</v>
      </c>
      <c r="D9">
        <v>19.99</v>
      </c>
      <c r="E9">
        <v>600</v>
      </c>
      <c r="F9" t="s">
        <v>62</v>
      </c>
      <c r="G9" s="4">
        <f>_xlfn.XLOOKUP(B9,payments!$A$2:$A$203,payments!$B$2:$B$203)</f>
        <v>320</v>
      </c>
      <c r="H9" s="4" t="str">
        <f>IF(OR(refunds[[#This Row],[refunded_at]]="",refunds[[#This Row],[refunded_at]]=0),"",TEXT(refunds[[#This Row],[refunded_at]],"yyyy-mm"))</f>
        <v>2026-05</v>
      </c>
    </row>
    <row r="10" spans="1:8">
      <c r="A10">
        <v>9</v>
      </c>
      <c r="B10">
        <v>114</v>
      </c>
      <c r="C10" s="3">
        <v>46164.2311574074</v>
      </c>
      <c r="D10">
        <v>19.99</v>
      </c>
      <c r="E10">
        <v>600</v>
      </c>
      <c r="F10" t="s">
        <v>62</v>
      </c>
      <c r="G10" s="4">
        <f>_xlfn.XLOOKUP(B10,payments!$A$2:$A$203,payments!$B$2:$B$203)</f>
        <v>342</v>
      </c>
      <c r="H10" s="4" t="str">
        <f>IF(OR(refunds[[#This Row],[refunded_at]]="",refunds[[#This Row],[refunded_at]]=0),"",TEXT(refunds[[#This Row],[refunded_at]],"yyyy-mm"))</f>
        <v>2026-05</v>
      </c>
    </row>
    <row r="11" spans="1:8">
      <c r="A11">
        <v>10</v>
      </c>
      <c r="B11">
        <v>124</v>
      </c>
      <c r="C11" s="3">
        <v>46079.3003240741</v>
      </c>
      <c r="D11">
        <v>9.99</v>
      </c>
      <c r="E11">
        <v>250</v>
      </c>
      <c r="F11" t="s">
        <v>61</v>
      </c>
      <c r="G11" s="4">
        <f>_xlfn.XLOOKUP(B11,payments!$A$2:$A$203,payments!$B$2:$B$203)</f>
        <v>369</v>
      </c>
      <c r="H11" s="4" t="str">
        <f>IF(OR(refunds[[#This Row],[refunded_at]]="",refunds[[#This Row],[refunded_at]]=0),"",TEXT(refunds[[#This Row],[refunded_at]],"yyyy-mm"))</f>
        <v>2026-02</v>
      </c>
    </row>
    <row r="12" spans="1:8">
      <c r="A12">
        <v>11</v>
      </c>
      <c r="B12">
        <v>126</v>
      </c>
      <c r="C12" s="3">
        <v>46154.7777546296</v>
      </c>
      <c r="D12">
        <v>9.99</v>
      </c>
      <c r="E12">
        <v>250</v>
      </c>
      <c r="F12" t="s">
        <v>61</v>
      </c>
      <c r="G12" s="4">
        <f>_xlfn.XLOOKUP(B12,payments!$A$2:$A$203,payments!$B$2:$B$203)</f>
        <v>369</v>
      </c>
      <c r="H12" s="4" t="str">
        <f>IF(OR(refunds[[#This Row],[refunded_at]]="",refunds[[#This Row],[refunded_at]]=0),"",TEXT(refunds[[#This Row],[refunded_at]],"yyyy-mm"))</f>
        <v>2026-05</v>
      </c>
    </row>
    <row r="13" spans="1:8">
      <c r="A13">
        <v>12</v>
      </c>
      <c r="B13">
        <v>134</v>
      </c>
      <c r="C13" s="3">
        <v>46042.6904861111</v>
      </c>
      <c r="D13">
        <v>19.99</v>
      </c>
      <c r="E13">
        <v>600</v>
      </c>
      <c r="F13" t="s">
        <v>61</v>
      </c>
      <c r="G13" s="4">
        <f>_xlfn.XLOOKUP(B13,payments!$A$2:$A$203,payments!$B$2:$B$203)</f>
        <v>384</v>
      </c>
      <c r="H13" s="4" t="str">
        <f>IF(OR(refunds[[#This Row],[refunded_at]]="",refunds[[#This Row],[refunded_at]]=0),"",TEXT(refunds[[#This Row],[refunded_at]],"yyyy-mm"))</f>
        <v>2026-01</v>
      </c>
    </row>
    <row r="14" spans="1:8">
      <c r="A14">
        <v>13</v>
      </c>
      <c r="B14">
        <v>139</v>
      </c>
      <c r="C14" s="3">
        <v>46201.4615277778</v>
      </c>
      <c r="D14">
        <v>4.99</v>
      </c>
      <c r="E14">
        <v>100</v>
      </c>
      <c r="F14" t="s">
        <v>62</v>
      </c>
      <c r="G14" s="4">
        <f>_xlfn.XLOOKUP(B14,payments!$A$2:$A$203,payments!$B$2:$B$203)</f>
        <v>390</v>
      </c>
      <c r="H14" s="4" t="str">
        <f>IF(OR(refunds[[#This Row],[refunded_at]]="",refunds[[#This Row],[refunded_at]]=0),"",TEXT(refunds[[#This Row],[refunded_at]],"yyyy-mm"))</f>
        <v>2026-06</v>
      </c>
    </row>
    <row r="15" spans="1:8">
      <c r="A15">
        <v>14</v>
      </c>
      <c r="B15">
        <v>165</v>
      </c>
      <c r="C15" s="3">
        <v>46199.824537037</v>
      </c>
      <c r="D15">
        <v>19.99</v>
      </c>
      <c r="E15">
        <v>600</v>
      </c>
      <c r="F15" t="s">
        <v>61</v>
      </c>
      <c r="G15" s="4">
        <f>_xlfn.XLOOKUP(B15,payments!$A$2:$A$203,payments!$B$2:$B$203)</f>
        <v>450</v>
      </c>
      <c r="H15" s="4" t="str">
        <f>IF(OR(refunds[[#This Row],[refunded_at]]="",refunds[[#This Row],[refunded_at]]=0),"",TEXT(refunds[[#This Row],[refunded_at]],"yyyy-mm"))</f>
        <v>2026-06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6" sqref="D14 B6"/>
    </sheetView>
  </sheetViews>
  <sheetFormatPr defaultColWidth="8.88888888888889" defaultRowHeight="14.4" outlineLevelRow="4" outlineLevelCol="3"/>
  <cols>
    <col min="1" max="5" width="12.7777777777778" customWidth="1"/>
  </cols>
  <sheetData>
    <row r="1" spans="1:4">
      <c r="A1" t="s">
        <v>45</v>
      </c>
      <c r="B1" t="s">
        <v>63</v>
      </c>
      <c r="C1" t="s">
        <v>64</v>
      </c>
      <c r="D1" t="s">
        <v>65</v>
      </c>
    </row>
    <row r="2" spans="1:4">
      <c r="A2">
        <v>1</v>
      </c>
      <c r="B2" t="s">
        <v>66</v>
      </c>
      <c r="C2">
        <v>100</v>
      </c>
      <c r="D2">
        <v>4.99</v>
      </c>
    </row>
    <row r="3" spans="1:4">
      <c r="A3">
        <v>2</v>
      </c>
      <c r="B3" t="s">
        <v>67</v>
      </c>
      <c r="C3">
        <v>250</v>
      </c>
      <c r="D3">
        <v>9.99</v>
      </c>
    </row>
    <row r="4" spans="1:4">
      <c r="A4">
        <v>3</v>
      </c>
      <c r="B4" t="s">
        <v>68</v>
      </c>
      <c r="C4">
        <v>600</v>
      </c>
      <c r="D4">
        <v>19.99</v>
      </c>
    </row>
    <row r="5" spans="1:4">
      <c r="A5">
        <v>4</v>
      </c>
      <c r="B5" t="s">
        <v>69</v>
      </c>
      <c r="C5">
        <v>1500</v>
      </c>
      <c r="D5">
        <v>44.99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29" sqref="C29"/>
    </sheetView>
  </sheetViews>
  <sheetFormatPr defaultColWidth="8.88888888888889" defaultRowHeight="14.4" outlineLevelCol="5"/>
  <cols>
    <col min="1" max="7" width="21.8888888888889" customWidth="1"/>
  </cols>
  <sheetData>
    <row r="1" spans="1:6">
      <c r="A1" t="s">
        <v>38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>
      <c r="A2">
        <v>1</v>
      </c>
      <c r="B2" t="s">
        <v>75</v>
      </c>
      <c r="C2" t="s">
        <v>76</v>
      </c>
      <c r="D2" s="3">
        <v>46023</v>
      </c>
      <c r="E2" s="3">
        <v>46203.9999884259</v>
      </c>
      <c r="F2">
        <v>1086</v>
      </c>
    </row>
    <row r="3" spans="1:6">
      <c r="A3">
        <v>2</v>
      </c>
      <c r="B3" t="s">
        <v>77</v>
      </c>
      <c r="C3" t="s">
        <v>78</v>
      </c>
      <c r="D3" s="3">
        <v>46023</v>
      </c>
      <c r="E3" s="3">
        <v>46203.9999884259</v>
      </c>
      <c r="F3">
        <v>961</v>
      </c>
    </row>
    <row r="4" spans="1:6">
      <c r="A4">
        <v>3</v>
      </c>
      <c r="B4" t="s">
        <v>79</v>
      </c>
      <c r="C4" t="s">
        <v>80</v>
      </c>
      <c r="D4" s="3">
        <v>46023</v>
      </c>
      <c r="E4" s="3">
        <v>46203.9999884259</v>
      </c>
      <c r="F4">
        <v>1373</v>
      </c>
    </row>
    <row r="5" spans="1:6">
      <c r="A5">
        <v>4</v>
      </c>
      <c r="B5" t="s">
        <v>81</v>
      </c>
      <c r="C5" t="s">
        <v>82</v>
      </c>
      <c r="D5" s="3">
        <v>46023</v>
      </c>
      <c r="E5" s="3">
        <v>46203.9999884259</v>
      </c>
      <c r="F5">
        <v>1042</v>
      </c>
    </row>
    <row r="6" spans="1:6">
      <c r="A6">
        <v>5</v>
      </c>
      <c r="B6" t="s">
        <v>83</v>
      </c>
      <c r="C6" t="s">
        <v>76</v>
      </c>
      <c r="D6" s="3">
        <v>46023</v>
      </c>
      <c r="E6" s="3">
        <v>46203.9999884259</v>
      </c>
      <c r="F6">
        <v>377</v>
      </c>
    </row>
    <row r="7" spans="1:6">
      <c r="A7">
        <v>6</v>
      </c>
      <c r="B7" t="s">
        <v>84</v>
      </c>
      <c r="C7" t="s">
        <v>78</v>
      </c>
      <c r="D7" s="3">
        <v>46023</v>
      </c>
      <c r="E7" s="3">
        <v>46203.9999884259</v>
      </c>
      <c r="F7">
        <v>1795</v>
      </c>
    </row>
    <row r="8" spans="1:6">
      <c r="A8">
        <v>7</v>
      </c>
      <c r="B8" t="s">
        <v>85</v>
      </c>
      <c r="C8" t="s">
        <v>80</v>
      </c>
      <c r="D8" s="3">
        <v>46023</v>
      </c>
      <c r="E8" s="3">
        <v>46203.9999884259</v>
      </c>
      <c r="F8">
        <v>719</v>
      </c>
    </row>
    <row r="9" spans="1:6">
      <c r="A9">
        <v>8</v>
      </c>
      <c r="B9" t="s">
        <v>86</v>
      </c>
      <c r="C9" t="s">
        <v>82</v>
      </c>
      <c r="D9" s="3">
        <v>46023</v>
      </c>
      <c r="E9" s="3">
        <v>46203.9999884259</v>
      </c>
      <c r="F9">
        <v>1545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4" sqref="A4"/>
    </sheetView>
  </sheetViews>
  <sheetFormatPr defaultColWidth="8.88888888888889" defaultRowHeight="14.4" outlineLevelRow="3" outlineLevelCol="5"/>
  <cols>
    <col min="1" max="1" width="25.1111111111111" customWidth="1"/>
    <col min="2" max="2" width="29.6666666666667" customWidth="1"/>
    <col min="3" max="3" width="23.5555555555556" customWidth="1"/>
    <col min="4" max="4" width="27.1111111111111" customWidth="1"/>
    <col min="5" max="5" width="13.6666666666667" customWidth="1"/>
  </cols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1:6">
      <c r="A2" s="1">
        <f>COUNTIF(payments!F:F,"succeeded")</f>
        <v>163</v>
      </c>
      <c r="B2" s="1">
        <f>SUMIF(payments!F:F,"succeeded",payments!G:G)</f>
        <v>1927.37</v>
      </c>
      <c r="C2" s="1">
        <f>B2/A2</f>
        <v>11.8243558282209</v>
      </c>
      <c r="D2" s="1" cm="1">
        <f t="array" ref="D2">MEDIAN(_xlfn._xlws.FILTER(payments!G2:G203,payments!F2:F203="succeeded"))</f>
        <v>9.99</v>
      </c>
      <c r="E2">
        <v>40</v>
      </c>
    </row>
    <row r="3" spans="1:6">
      <c r="A3">
        <f>A2*$E$2</f>
        <v>6520</v>
      </c>
      <c r="B3">
        <f>B2*$E$2</f>
        <v>77094.8</v>
      </c>
      <c r="C3">
        <f>C2*$E$2</f>
        <v>472.974233128835</v>
      </c>
      <c r="D3">
        <f>D2*$E$2</f>
        <v>399.6</v>
      </c>
    </row>
    <row r="4" spans="1:6">
      <c r="A4">
        <f>ROUND(A3,2)</f>
        <v>6520</v>
      </c>
      <c r="B4">
        <f>ROUND(B3,2)</f>
        <v>77094.8</v>
      </c>
      <c r="C4">
        <f>ROUND(C3,2)</f>
        <v>472.97</v>
      </c>
      <c r="D4" s="2">
        <f>ROUND(D3,2)</f>
        <v>399.6</v>
      </c>
      <c r="F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pivot_table</vt:lpstr>
      <vt:lpstr>users</vt:lpstr>
      <vt:lpstr>payments</vt:lpstr>
      <vt:lpstr>refunds</vt:lpstr>
      <vt:lpstr>coin_packages</vt:lpstr>
      <vt:lpstr>campaigns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Емір</cp:lastModifiedBy>
  <dcterms:created xsi:type="dcterms:W3CDTF">2026-10-11T08:11:00Z</dcterms:created>
  <dcterms:modified xsi:type="dcterms:W3CDTF">2026-10-11T21:15:03Z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1033-12.1.0.28096</vt:lpwstr>
  </property>
  <property fmtid="{D5CDD505-2E9C-101B-9397-08002B2CF9AE}" pid="3" name="CalculationRule">
    <vt:i4>0</vt:i4>
  </property>
  <property fmtid="{D5CDD505-2E9C-101B-9397-08002B2CF9AE}" pid="4" name="ICV">
    <vt:lpwstr>8B7531641050485CA423F6321BBE3B36_13</vt:lpwstr>
  </property>
</Properties>
</file>